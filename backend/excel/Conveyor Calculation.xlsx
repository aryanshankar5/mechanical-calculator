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IT\Desktop\SAIL\mechanical-calculator\backend\excel\"/>
    </mc:Choice>
  </mc:AlternateContent>
  <xr:revisionPtr revIDLastSave="0" documentId="13_ncr:1_{D650510B-B2A3-485A-A851-4D064D6FF2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elt Conveyor Motor Power" sheetId="1" r:id="rId1"/>
    <sheet name="Density - IS8730" sheetId="2" r:id="rId2"/>
    <sheet name="Table 7 - Max Are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8" i="1" l="1"/>
  <c r="D41" i="1"/>
  <c r="D10" i="1"/>
  <c r="D11" i="1" s="1"/>
  <c r="D80" i="1" s="1"/>
  <c r="D17" i="1" a="1"/>
  <c r="D17" i="1" s="1"/>
  <c r="K3" i="3"/>
  <c r="K4" i="3"/>
  <c r="K2" i="3"/>
  <c r="D16" i="1"/>
  <c r="D78" i="1" s="1"/>
  <c r="D23" i="1" a="1"/>
  <c r="D23" i="1" s="1"/>
  <c r="D20" i="1"/>
  <c r="D21" i="1" s="1"/>
  <c r="D7" i="1"/>
  <c r="D73" i="1"/>
  <c r="D81" i="1" s="1"/>
  <c r="D64" i="1" l="1"/>
  <c r="K7" i="3" a="1"/>
  <c r="K7" i="3" s="1"/>
  <c r="D77" i="1" s="1"/>
  <c r="D69" i="1"/>
  <c r="D87" i="1"/>
  <c r="D65" i="1"/>
  <c r="D72" i="1"/>
  <c r="D50" i="1" l="1"/>
  <c r="D49" i="1"/>
  <c r="D71" i="1"/>
  <c r="D70" i="1"/>
  <c r="D66" i="1"/>
  <c r="D68" i="1" s="1"/>
  <c r="D76" i="1"/>
  <c r="D74" i="1" l="1"/>
  <c r="D99" i="1"/>
  <c r="D100" i="1" s="1"/>
  <c r="D75" i="1"/>
  <c r="D79" i="1" s="1"/>
  <c r="D67" i="1"/>
  <c r="D82" i="1" l="1"/>
  <c r="D83" i="1" s="1"/>
  <c r="D84" i="1" s="1"/>
  <c r="D85" i="1" s="1"/>
  <c r="D86" i="1" l="1"/>
  <c r="D89" i="1" l="1"/>
  <c r="D101" i="1" s="1"/>
  <c r="D10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<sst xmlns="http://schemas.openxmlformats.org/spreadsheetml/2006/main" count="722" uniqueCount="645">
  <si>
    <t>IS 11592: 2000 Belt Conveyor Motor Power Calculator</t>
  </si>
  <si>
    <t>Parameter</t>
  </si>
  <si>
    <t>Symbol</t>
  </si>
  <si>
    <t>Value</t>
  </si>
  <si>
    <t>Unit</t>
  </si>
  <si>
    <t>C</t>
  </si>
  <si>
    <t>t/h</t>
  </si>
  <si>
    <t>\rho</t>
  </si>
  <si>
    <t>t/m³</t>
  </si>
  <si>
    <t>V</t>
  </si>
  <si>
    <t>m/s</t>
  </si>
  <si>
    <t>V_0</t>
  </si>
  <si>
    <t>B</t>
  </si>
  <si>
    <t>m</t>
  </si>
  <si>
    <t>L</t>
  </si>
  <si>
    <t>H</t>
  </si>
  <si>
    <t>degrees</t>
  </si>
  <si>
    <t>f</t>
  </si>
  <si>
    <t>-</t>
  </si>
  <si>
    <t>m_c</t>
  </si>
  <si>
    <t>kg/m</t>
  </si>
  <si>
    <t>m_r</t>
  </si>
  <si>
    <t>m_B</t>
  </si>
  <si>
    <t>\mu_1</t>
  </si>
  <si>
    <t>\mu_2</t>
  </si>
  <si>
    <t>b_1</t>
  </si>
  <si>
    <t>l_sk</t>
  </si>
  <si>
    <t>t</t>
  </si>
  <si>
    <t>D</t>
  </si>
  <si>
    <t>d</t>
  </si>
  <si>
    <t>R_v</t>
  </si>
  <si>
    <t>N</t>
  </si>
  <si>
    <t>T_av</t>
  </si>
  <si>
    <t>N/m</t>
  </si>
  <si>
    <t>C_i</t>
  </si>
  <si>
    <t>\mu_0</t>
  </si>
  <si>
    <t>L_i</t>
  </si>
  <si>
    <t>i</t>
  </si>
  <si>
    <t>A_1</t>
  </si>
  <si>
    <t>m²</t>
  </si>
  <si>
    <t>p</t>
  </si>
  <si>
    <t>N/m²</t>
  </si>
  <si>
    <t>\mu_3</t>
  </si>
  <si>
    <t>K_s</t>
  </si>
  <si>
    <t>\eta_1</t>
  </si>
  <si>
    <t>g</t>
  </si>
  <si>
    <t>m/s²</t>
  </si>
  <si>
    <t>CALCULATIONS</t>
  </si>
  <si>
    <t>Volumetric Capacity</t>
  </si>
  <si>
    <t>Q</t>
  </si>
  <si>
    <t>m³/s</t>
  </si>
  <si>
    <t>Mass of handled material</t>
  </si>
  <si>
    <t>m_G</t>
  </si>
  <si>
    <t>Main Resistance</t>
  </si>
  <si>
    <t>R</t>
  </si>
  <si>
    <t>Slope Resistance</t>
  </si>
  <si>
    <t>R_SL</t>
  </si>
  <si>
    <t>Accel Length</t>
  </si>
  <si>
    <t>l_a</t>
  </si>
  <si>
    <t>Accel Resist (Inertial)</t>
  </si>
  <si>
    <t>R_a</t>
  </si>
  <si>
    <t>Skirt Accel Resist</t>
  </si>
  <si>
    <t>R_ska</t>
  </si>
  <si>
    <t>Wrap Resistance</t>
  </si>
  <si>
    <t>R_w</t>
  </si>
  <si>
    <t>Bearing Resistance</t>
  </si>
  <si>
    <t>R_b</t>
  </si>
  <si>
    <t>Secondary Resistance</t>
  </si>
  <si>
    <t>R_s</t>
  </si>
  <si>
    <t>Idler Tilt Resist</t>
  </si>
  <si>
    <t>R_i</t>
  </si>
  <si>
    <t>Skirt Resist (Main)</t>
  </si>
  <si>
    <t>R_sk</t>
  </si>
  <si>
    <t>Belt Cleaner Resist</t>
  </si>
  <si>
    <t>R_bc</t>
  </si>
  <si>
    <t>Discharge Plough Resist</t>
  </si>
  <si>
    <t>R_p</t>
  </si>
  <si>
    <t>Special Resistance</t>
  </si>
  <si>
    <t>R_sp</t>
  </si>
  <si>
    <t>Drive Wrap Resist</t>
  </si>
  <si>
    <t>R_wd</t>
  </si>
  <si>
    <t>Drive Bearing Resist</t>
  </si>
  <si>
    <t>R_bd</t>
  </si>
  <si>
    <t>Effective Tension</t>
  </si>
  <si>
    <t>T_E</t>
  </si>
  <si>
    <t>Power at Drive Pulley</t>
  </si>
  <si>
    <t>P_DP</t>
  </si>
  <si>
    <t>kW</t>
  </si>
  <si>
    <t>Absorbed Power</t>
  </si>
  <si>
    <t>P_A</t>
  </si>
  <si>
    <t>P_M</t>
  </si>
  <si>
    <t>Table 9: Slope Factor K</t>
  </si>
  <si>
    <t>Inclination (Degrees)</t>
  </si>
  <si>
    <t>Material</t>
  </si>
  <si>
    <t>Adipic acid</t>
  </si>
  <si>
    <t>Alfalfa seed</t>
  </si>
  <si>
    <t>Alfalfa meal</t>
  </si>
  <si>
    <t>Almonds, broken or whole</t>
  </si>
  <si>
    <t>Alum, fine</t>
  </si>
  <si>
    <t>Alum, lumpy</t>
  </si>
  <si>
    <t>Alum, pulverised</t>
  </si>
  <si>
    <t>Alumina</t>
  </si>
  <si>
    <t>Aluminate jell</t>
  </si>
  <si>
    <t>Aluminium chips</t>
  </si>
  <si>
    <t>Aluminium hydrate</t>
  </si>
  <si>
    <t>Aluminium oxide</t>
  </si>
  <si>
    <t>Aluminium silicate</t>
  </si>
  <si>
    <t>Aluminium sulphate</t>
  </si>
  <si>
    <t>Ammonium chloride, crystalline</t>
  </si>
  <si>
    <t>Ammonium nitrate</t>
  </si>
  <si>
    <t>Ammonium phosphate</t>
  </si>
  <si>
    <t>Ammonium sulphate (granular)</t>
  </si>
  <si>
    <t>Apple pomace, dry</t>
  </si>
  <si>
    <t>Arsenic oxide</t>
  </si>
  <si>
    <t>Arsenic, pulverized</t>
  </si>
  <si>
    <t>Asbestos ore or rock</t>
  </si>
  <si>
    <t>Asbestos shred</t>
  </si>
  <si>
    <t>Ash, black, ground</t>
  </si>
  <si>
    <t>Ashes, coal, dry, 12 mm and under</t>
  </si>
  <si>
    <t>Ashes, coal, dry, 75 mm and under</t>
  </si>
  <si>
    <t>Ashes, coal, wet, 12 mm and under</t>
  </si>
  <si>
    <t>Ashes, coal, wet, 75 mm and under</t>
  </si>
  <si>
    <t>Ashes, fly</t>
  </si>
  <si>
    <t>Ashes, gas-producer, wet</t>
  </si>
  <si>
    <t>Asphalt, binder for paving</t>
  </si>
  <si>
    <t>Asphalt, crushed, 12 mm and under</t>
  </si>
  <si>
    <t>Bagasse</t>
  </si>
  <si>
    <t>Bakelite and similar plastics (powdered)</t>
  </si>
  <si>
    <t>Baking powder</t>
  </si>
  <si>
    <t>Barite</t>
  </si>
  <si>
    <t>Barium carbonate</t>
  </si>
  <si>
    <t>Bark, wood, refuse</t>
  </si>
  <si>
    <t>Barley</t>
  </si>
  <si>
    <t>Barytes, powdered</t>
  </si>
  <si>
    <t>Barytes, lumpy</t>
  </si>
  <si>
    <t>Bauxite, ground, dry</t>
  </si>
  <si>
    <t>Bauxite, mine run</t>
  </si>
  <si>
    <t>Bauxite, crushed, 75 mm and under</t>
  </si>
  <si>
    <t>Beans, castor, whole</t>
  </si>
  <si>
    <t>Beans, navy, dry</t>
  </si>
  <si>
    <t>Beans, navy, steeped</t>
  </si>
  <si>
    <t>Beet pulp, dry</t>
  </si>
  <si>
    <t>Beet pulp, wet</t>
  </si>
  <si>
    <t>Beets, whole</t>
  </si>
  <si>
    <t>Bentonite, crude</t>
  </si>
  <si>
    <t>Bentonite, 150 micron IS Sieve</t>
  </si>
  <si>
    <t>Benzine hexachloride</t>
  </si>
  <si>
    <t>Bicarbonate of soda</t>
  </si>
  <si>
    <t>Blood, dried</t>
  </si>
  <si>
    <t>Bones, crushed</t>
  </si>
  <si>
    <t>Bones, granulated or ground</t>
  </si>
  <si>
    <t>Bones</t>
  </si>
  <si>
    <t>Bone black, 150 micron IS Sieve</t>
  </si>
  <si>
    <t>Bone charcoal</t>
  </si>
  <si>
    <t>Bone meal</t>
  </si>
  <si>
    <t>Borate of lime</t>
  </si>
  <si>
    <t>Borax, 50 mm to 75 mm lumps</t>
  </si>
  <si>
    <t>Borax, 37 to 50 mm lumps</t>
  </si>
  <si>
    <t>Borax, 12 mm screenings</t>
  </si>
  <si>
    <t>Borax, fine</t>
  </si>
  <si>
    <t>Boric acid, fine</t>
  </si>
  <si>
    <t>Boron</t>
  </si>
  <si>
    <t>Bran</t>
  </si>
  <si>
    <t>Brewer's grain, spent, dry</t>
  </si>
  <si>
    <t>Brewer's grain, spent, wet</t>
  </si>
  <si>
    <t>Brick, hard</t>
  </si>
  <si>
    <t>Brick, soft</t>
  </si>
  <si>
    <t>Bronze Chips</t>
  </si>
  <si>
    <t>Buckwheat</t>
  </si>
  <si>
    <t>Calcium acetate</t>
  </si>
  <si>
    <t>Calcium carbide (crushed)</t>
  </si>
  <si>
    <t>Calcium lactate</t>
  </si>
  <si>
    <t>Carbon, activated, dry, fine</t>
  </si>
  <si>
    <t>Carbon black, pelletized</t>
  </si>
  <si>
    <t>Carbon black powder</t>
  </si>
  <si>
    <t>Carborundum, 75 mm and under</t>
  </si>
  <si>
    <t>Casein</t>
  </si>
  <si>
    <t>Cashew nuts</t>
  </si>
  <si>
    <t>Cast iron chips</t>
  </si>
  <si>
    <t>Cement, Portland</t>
  </si>
  <si>
    <t>Cement Portland, aerated</t>
  </si>
  <si>
    <t>Cement, rock (see Limestone)</t>
  </si>
  <si>
    <t>Cement clinker</t>
  </si>
  <si>
    <t>Cement mortar</t>
  </si>
  <si>
    <t>Chalk, lumpy</t>
  </si>
  <si>
    <t>Chalk, 150 micron IS Sieve and under</t>
  </si>
  <si>
    <t>Charcoal</t>
  </si>
  <si>
    <t>Cheese, grated</t>
  </si>
  <si>
    <t>Chips, paper mill</t>
  </si>
  <si>
    <t>Chips, paper mill, softwood</t>
  </si>
  <si>
    <t>Chips hogged, fuel</t>
  </si>
  <si>
    <t>Chocolate press cake</t>
  </si>
  <si>
    <t>Chrome Ore (Chromite)</t>
  </si>
  <si>
    <t>Cinders, Blast furnace</t>
  </si>
  <si>
    <t>Cinders, coal</t>
  </si>
  <si>
    <t>Clay, calcined</t>
  </si>
  <si>
    <t>Clay, dry, fines</t>
  </si>
  <si>
    <t>Clay, dry, lumpy</t>
  </si>
  <si>
    <t>Clover seed</t>
  </si>
  <si>
    <t>Coal, anthracite, river or culm, 3 mm and under</t>
  </si>
  <si>
    <t>Coal, anthracite, sized</t>
  </si>
  <si>
    <t>Coal, bituminous, mined, 300 micron sieve and under</t>
  </si>
  <si>
    <t>Coal, bituminous, mined, classified</t>
  </si>
  <si>
    <t>Coal, bituminous, mined, unclassified</t>
  </si>
  <si>
    <t>Coal, bituminous, mined, slack, 12 mm and under</t>
  </si>
  <si>
    <t>Coal, bituminous, stripping, not cleaned</t>
  </si>
  <si>
    <t>Coal, Char</t>
  </si>
  <si>
    <t>Coal, powdered</t>
  </si>
  <si>
    <t>Coal, pulverised</t>
  </si>
  <si>
    <t>Cocoa beans</t>
  </si>
  <si>
    <t>Cocoa powder</t>
  </si>
  <si>
    <t>Cocoanut, shredded</t>
  </si>
  <si>
    <t>Coffee, shaff</t>
  </si>
  <si>
    <t>Coffee, green bean</t>
  </si>
  <si>
    <t>Coffee, ground</t>
  </si>
  <si>
    <t>Coffee, roasted bean</t>
  </si>
  <si>
    <t>Coffee, soluble</t>
  </si>
  <si>
    <t>Coke, loose</t>
  </si>
  <si>
    <t>Coke, petroleum calcined</t>
  </si>
  <si>
    <t>Coke breeze, 6 mm and under</t>
  </si>
  <si>
    <t>Compost</t>
  </si>
  <si>
    <t>Concrete, cinder</t>
  </si>
  <si>
    <t>Concrete, 50 mm slump</t>
  </si>
  <si>
    <t>Concrete, 100 mm slump</t>
  </si>
  <si>
    <t>Concrete, 150 mm slump</t>
  </si>
  <si>
    <t>Concrete, in place, stone</t>
  </si>
  <si>
    <t>Copper ore</t>
  </si>
  <si>
    <t>Copper ore, crushed</t>
  </si>
  <si>
    <t>Copper sulphate</t>
  </si>
  <si>
    <t>Copra, lumpy</t>
  </si>
  <si>
    <t>Copra cake, ground</t>
  </si>
  <si>
    <t>Copra cake, lumpy</t>
  </si>
  <si>
    <t>Copra meal</t>
  </si>
  <si>
    <t>Cork, fine ground</t>
  </si>
  <si>
    <t>Cork, granulated</t>
  </si>
  <si>
    <t>Corn, cracked</t>
  </si>
  <si>
    <t>Corn, speed</t>
  </si>
  <si>
    <t>Corn, ear</t>
  </si>
  <si>
    <t>Corn, shelled</t>
  </si>
  <si>
    <t>Corn sugar</t>
  </si>
  <si>
    <t>Corn germs</t>
  </si>
  <si>
    <t>Corn grits</t>
  </si>
  <si>
    <t>Cornmeal</t>
  </si>
  <si>
    <t>Cottonseed, dry de-linted</t>
  </si>
  <si>
    <t>Cottonseed, dry not de-linted</t>
  </si>
  <si>
    <t>Cottonseed cake, crushed</t>
  </si>
  <si>
    <t>Cottonseed flakes</t>
  </si>
  <si>
    <t>Cottonseed cake, lumpy</t>
  </si>
  <si>
    <t>Cottonseed hulls</t>
  </si>
  <si>
    <t>Cottonseed meal</t>
  </si>
  <si>
    <t>Cottonseed meats</t>
  </si>
  <si>
    <t>Cracklings, crushed, 75 mm and under</t>
  </si>
  <si>
    <t>Cryolite dust</t>
  </si>
  <si>
    <t>Cryolite, lumpy</t>
  </si>
  <si>
    <t>Cullet</t>
  </si>
  <si>
    <t>Culm (see Coal)</t>
  </si>
  <si>
    <t>Diatomaceous earth</t>
  </si>
  <si>
    <t>Dicalcium phosphate</t>
  </si>
  <si>
    <t>Disodium phosphate</t>
  </si>
  <si>
    <t>Dolomite, lumpy</t>
  </si>
  <si>
    <t>Earth as excavated dry</t>
  </si>
  <si>
    <t>Earth wet containing clay</t>
  </si>
  <si>
    <t>Ebonite, crushed, 12 mm and under</t>
  </si>
  <si>
    <t>Egg powder</t>
  </si>
  <si>
    <t>Emery</t>
  </si>
  <si>
    <t>Epsom salts</t>
  </si>
  <si>
    <t>Face powder (see Talc)</t>
  </si>
  <si>
    <t>Feldspar, ground, 3 mm and under</t>
  </si>
  <si>
    <t>Feldspar, powdered</t>
  </si>
  <si>
    <t>Feldspar, 12 mm screenings</t>
  </si>
  <si>
    <t>Feldspar, 37 to 75 mm lumps</t>
  </si>
  <si>
    <t>Feldspar, 75-micron IS Sieve</t>
  </si>
  <si>
    <t>Ferrous sulphate</t>
  </si>
  <si>
    <t>Filter press mud (sugar factory)</t>
  </si>
  <si>
    <t>Fish meal</t>
  </si>
  <si>
    <t>Fish scrap</t>
  </si>
  <si>
    <t>Flax seed</t>
  </si>
  <si>
    <t>Flaxseed cake, expeller</t>
  </si>
  <si>
    <t>Flaxseed meal</t>
  </si>
  <si>
    <t>Flour, wheat</t>
  </si>
  <si>
    <t>Flue dust, boiler house, dry</t>
  </si>
  <si>
    <t>Flue dust, blast furnace</t>
  </si>
  <si>
    <t>Fluorspar</t>
  </si>
  <si>
    <t>Flourspar, 12 mm screenings</t>
  </si>
  <si>
    <t>Flourspar, 37 to 75 mm lumps</t>
  </si>
  <si>
    <t>Foundry sand, loose (see Sand)</t>
  </si>
  <si>
    <t>Foundry refuse, old sand cores, etc</t>
  </si>
  <si>
    <t>Fullers' earth, dry</t>
  </si>
  <si>
    <t>Fullers earth, oily</t>
  </si>
  <si>
    <t>Fullers' earth, oil filter, burned</t>
  </si>
  <si>
    <t>Fullers' earth, oil filter, raw</t>
  </si>
  <si>
    <t>Fullers' earth, oil filter, 300 spent</t>
  </si>
  <si>
    <t>Garbage, green</t>
  </si>
  <si>
    <t>Garbage, household</t>
  </si>
  <si>
    <t>Gelatin, granulated</t>
  </si>
  <si>
    <t>Gilsonite</t>
  </si>
  <si>
    <t>Glue, ground, 3 mm and under</t>
  </si>
  <si>
    <t>Glue, pearl</t>
  </si>
  <si>
    <t>Glue, vegetable, powdered</t>
  </si>
  <si>
    <t>Glass batch</t>
  </si>
  <si>
    <t>Gluten meal</t>
  </si>
  <si>
    <t>Grain, distillery, spent, dry</t>
  </si>
  <si>
    <t>Granite, 12 mm screenings</t>
  </si>
  <si>
    <t>Granite, 37 to 75 mm lumps</t>
  </si>
  <si>
    <t>Granite, broken</t>
  </si>
  <si>
    <t>Graphite, flake</t>
  </si>
  <si>
    <t>Graphite, flour</t>
  </si>
  <si>
    <t>Grape pomace</t>
  </si>
  <si>
    <t>Grass seed</t>
  </si>
  <si>
    <t>Gravel, bank run</t>
  </si>
  <si>
    <t>Gravel, pebbles</t>
  </si>
  <si>
    <t>Gravel</t>
  </si>
  <si>
    <t>Gypsum, calcined, 12 mm and under</t>
  </si>
  <si>
    <t>Gypsum, calcined, powdered</t>
  </si>
  <si>
    <t>Gypsum, dust non-aerated</t>
  </si>
  <si>
    <t>Gypsum, dust, aerated</t>
  </si>
  <si>
    <t>Gypsum, 12 mm screening</t>
  </si>
  <si>
    <t>Gypsum, 37 to 75 mm lumps</t>
  </si>
  <si>
    <t>Gypsum, raw, 25 mm and under</t>
  </si>
  <si>
    <t>Guano, dry</t>
  </si>
  <si>
    <t>Gunpowder</t>
  </si>
  <si>
    <t>Hay, loose</t>
  </si>
  <si>
    <t>Hominy</t>
  </si>
  <si>
    <t>Hops, spent, dry</t>
  </si>
  <si>
    <t>Hops, spent, wet</t>
  </si>
  <si>
    <t>Ice, crushed</t>
  </si>
  <si>
    <t>Ilmenite ore</t>
  </si>
  <si>
    <t>Iron borings, machine shop</t>
  </si>
  <si>
    <t>Iron ore</t>
  </si>
  <si>
    <t>Iron ore, crushed</t>
  </si>
  <si>
    <t>Iron ore, pellets</t>
  </si>
  <si>
    <t>Iron oxide, pigment</t>
  </si>
  <si>
    <t>Kaolin clay, 75 mm and under</t>
  </si>
  <si>
    <t>Kaolin talc, 150-micron IS Sieve</t>
  </si>
  <si>
    <t>Lactose</t>
  </si>
  <si>
    <t>Lead arsenate</t>
  </si>
  <si>
    <t>Lead ores (Galena)</t>
  </si>
  <si>
    <t>Lead oxides</t>
  </si>
  <si>
    <t>Lignite, air dried</t>
  </si>
  <si>
    <t>Lignite, raw, heavy</t>
  </si>
  <si>
    <t>Lime ground, 3 mm and under</t>
  </si>
  <si>
    <t>Lime, hydrated</t>
  </si>
  <si>
    <t>Lime, hydrated, 3 mm and under</t>
  </si>
  <si>
    <t>Lime, hydrated, pulverized</t>
  </si>
  <si>
    <t>Lime, over 12 mm</t>
  </si>
  <si>
    <t>Lime, pebble</t>
  </si>
  <si>
    <t>Limestone</t>
  </si>
  <si>
    <t>Limestone, agricultural, 3 mm and under</t>
  </si>
  <si>
    <t>Limestone, crushed</t>
  </si>
  <si>
    <t>Limestoe, dust</t>
  </si>
  <si>
    <t>Linseed cake, pea size</t>
  </si>
  <si>
    <t>Linseed meal</t>
  </si>
  <si>
    <t>Litharge, pulverized (Lead oxide)</t>
  </si>
  <si>
    <t>Lithopone</t>
  </si>
  <si>
    <t>Magnesite, fines</t>
  </si>
  <si>
    <t>Magnesium chloride</t>
  </si>
  <si>
    <t>Magnesium sulphate</t>
  </si>
  <si>
    <t>Malt, dry ground, 3 mm and under</t>
  </si>
  <si>
    <t>Malt, dry whole</t>
  </si>
  <si>
    <t>Malt, wet or green</t>
  </si>
  <si>
    <t>Malt, meal</t>
  </si>
  <si>
    <t>Malt, sprouts</t>
  </si>
  <si>
    <t>Manganese dioxide</t>
  </si>
  <si>
    <t>Manganese ore</t>
  </si>
  <si>
    <t>Manganese sulphate</t>
  </si>
  <si>
    <t>Marble, crushed, 12 mm and under</t>
  </si>
  <si>
    <t>Marl, dry</t>
  </si>
  <si>
    <t>Meat scraps</t>
  </si>
  <si>
    <t>Meat ground</t>
  </si>
  <si>
    <t>Mica, ground</t>
  </si>
  <si>
    <t>Mica, pulverized</t>
  </si>
  <si>
    <t>Mica, flakes</t>
  </si>
  <si>
    <t>Milk, dried, flake</t>
  </si>
  <si>
    <t>Milk, dry powder</t>
  </si>
  <si>
    <t>Milk, malted</t>
  </si>
  <si>
    <t>Milk, whole, powderea</t>
  </si>
  <si>
    <t>Milo maize</t>
  </si>
  <si>
    <t>Molybdenite, powdered</t>
  </si>
  <si>
    <t>Mortar, wet</t>
  </si>
  <si>
    <t>Muriate of potash</t>
  </si>
  <si>
    <t>Mustard seed</t>
  </si>
  <si>
    <t>Monosodium phosphate</t>
  </si>
  <si>
    <t>Mushrooms</t>
  </si>
  <si>
    <t>N.P.K. (fertilizer)</t>
  </si>
  <si>
    <t>Naphthalene flakes</t>
  </si>
  <si>
    <t>Nilacin-Nickle</t>
  </si>
  <si>
    <t>Nickle ore</t>
  </si>
  <si>
    <t>Nickel-cobalt sulphate ore</t>
  </si>
  <si>
    <t>Nitrophosphate (Sulpha)</t>
  </si>
  <si>
    <t>Oats</t>
  </si>
  <si>
    <t>Oats, rolled</t>
  </si>
  <si>
    <t>Oil cake</t>
  </si>
  <si>
    <t>Orange peel, dry</t>
  </si>
  <si>
    <t>Oxalic acid, crystals</t>
  </si>
  <si>
    <t>Oyster shells, ground, under 12 mm</t>
  </si>
  <si>
    <t>Oyster shells, whole</t>
  </si>
  <si>
    <t>Paper pulp stock</t>
  </si>
  <si>
    <t>Paper pulp, 10 percent consistency</t>
  </si>
  <si>
    <t>Paper pulp stock, up to 15 percent</t>
  </si>
  <si>
    <t>Paper pulp, 20 percent consistency</t>
  </si>
  <si>
    <t>Paper pulp, 30 percent consistency</t>
  </si>
  <si>
    <t>Paraffin cake, broken</t>
  </si>
  <si>
    <t>Peanuts, in shells</t>
  </si>
  <si>
    <t>Peanuts shelled</t>
  </si>
  <si>
    <t>Peas, dried</t>
  </si>
  <si>
    <t>Pebbles, over 25 mm</t>
  </si>
  <si>
    <t>Phosphate acid, fertilizer</t>
  </si>
  <si>
    <t>Phosphate, acid, pulverized</t>
  </si>
  <si>
    <t>Phosphate, granular</t>
  </si>
  <si>
    <t>Phosphate, triple, super, ground fertilizer</t>
  </si>
  <si>
    <t>Phosphate rock, broken, dry</t>
  </si>
  <si>
    <t>Phosphate rock, pulverized</t>
  </si>
  <si>
    <t>Phosphate sand</t>
  </si>
  <si>
    <t>Phosphate, diammonium</t>
  </si>
  <si>
    <t>Phosphate, florida</t>
  </si>
  <si>
    <t>Pitch</t>
  </si>
  <si>
    <t>Polystyrene beads</t>
  </si>
  <si>
    <t>Potash salts, sylyite, etc</t>
  </si>
  <si>
    <t>Potassium carbonate</t>
  </si>
  <si>
    <t>Potassium chloride, pellets</t>
  </si>
  <si>
    <t>Potassium nitrate</t>
  </si>
  <si>
    <t>Potassium sulphate</t>
  </si>
  <si>
    <t>Pumice, 3 mm and under</t>
  </si>
  <si>
    <t>Pyrites, iron, 50 to 75 mm lumps</t>
  </si>
  <si>
    <t>Pyrites, pellets</t>
  </si>
  <si>
    <t>Quartz, dust</t>
  </si>
  <si>
    <t>Quartz, pulverised or granular</t>
  </si>
  <si>
    <t>Quartz, 12 mm screenings</t>
  </si>
  <si>
    <t>Quartz, 37 to 75 mm lumps</t>
  </si>
  <si>
    <t>Rice bran (see Bran)</t>
  </si>
  <si>
    <t>Rice, hulled or polished</t>
  </si>
  <si>
    <t>Rice, rough</t>
  </si>
  <si>
    <t>Rice grits</t>
  </si>
  <si>
    <t>Rock, crushed</t>
  </si>
  <si>
    <t>Rock, soft, excavated with shovel</t>
  </si>
  <si>
    <t>Rubber, ground</t>
  </si>
  <si>
    <t>Rubber, pellets</t>
  </si>
  <si>
    <t>Rubber, reclaim</t>
  </si>
  <si>
    <t>Rye</t>
  </si>
  <si>
    <t>Salicylic acid</t>
  </si>
  <si>
    <t>Salt, common dry, coarse</t>
  </si>
  <si>
    <t>Salt, common dry, fine</t>
  </si>
  <si>
    <t>Salt, cake, dry, coarse</t>
  </si>
  <si>
    <t>Salt, cake, dry, pulverized</t>
  </si>
  <si>
    <t>Saltpeter</t>
  </si>
  <si>
    <t>Sand, bank, damp</t>
  </si>
  <si>
    <t>Sand, bank, dry</t>
  </si>
  <si>
    <t>Sand, foundry, prepared</t>
  </si>
  <si>
    <t>Sand, foundry, shakeout</t>
  </si>
  <si>
    <t>Sand, silica, dry</t>
  </si>
  <si>
    <t>Sand, core</t>
  </si>
  <si>
    <t>Sandstone, broken</t>
  </si>
  <si>
    <t>Sawdust</t>
  </si>
  <si>
    <t>Sesame seed</t>
  </si>
  <si>
    <t>Sewage (sludge)</t>
  </si>
  <si>
    <t>Shale, broken</t>
  </si>
  <si>
    <t>Shale, crushed</t>
  </si>
  <si>
    <t>Shellac</t>
  </si>
  <si>
    <t>Shellac, powdered or granulated</t>
  </si>
  <si>
    <t>Silica gel</t>
  </si>
  <si>
    <t>Single superphosphate, granulated</t>
  </si>
  <si>
    <t>Sinter</t>
  </si>
  <si>
    <t>Slag, blast furnace, crushed</t>
  </si>
  <si>
    <t>Slag, furnace, granular, dry</t>
  </si>
  <si>
    <t>Slag, furnace, granular, wet</t>
  </si>
  <si>
    <t>Slag, furnace, lumpy</t>
  </si>
  <si>
    <t>Slate, dust</t>
  </si>
  <si>
    <t>Slate, crushed, 3 mm and under</t>
  </si>
  <si>
    <t>Slate, lumps 37 to 75 mm</t>
  </si>
  <si>
    <t>Soap chips</t>
  </si>
  <si>
    <t>Soap detergents</t>
  </si>
  <si>
    <t>Soap flakes</t>
  </si>
  <si>
    <t>Soap powder</t>
  </si>
  <si>
    <t>Soapstone, talc, fine</t>
  </si>
  <si>
    <t>Soda ash, briquettes</t>
  </si>
  <si>
    <t>Soda ash, heavy</t>
  </si>
  <si>
    <t>Soda ash, light</t>
  </si>
  <si>
    <t>Sodium bicarbonate</t>
  </si>
  <si>
    <t>Sodium nitrate</t>
  </si>
  <si>
    <t>Sodium phosphate</t>
  </si>
  <si>
    <t>Sodium aluminium sulphate</t>
  </si>
  <si>
    <t>Sorghum seed</t>
  </si>
  <si>
    <t>Soyabeans, cracked</t>
  </si>
  <si>
    <t>Soyabeans, whole</t>
  </si>
  <si>
    <t>Soyabean cake, over 12 mm</t>
  </si>
  <si>
    <t>Soyabean flakes, raw</t>
  </si>
  <si>
    <t>Soyabean flakes, spent</t>
  </si>
  <si>
    <t>Soyabean flour</t>
  </si>
  <si>
    <t>Soyabean meal, cold</t>
  </si>
  <si>
    <t>Soyabean meal, hot</t>
  </si>
  <si>
    <t>Starch</t>
  </si>
  <si>
    <t>Steel chips, crushed</t>
  </si>
  <si>
    <t>Steel trimmings</t>
  </si>
  <si>
    <t>Stone, crushed</t>
  </si>
  <si>
    <t>Sugar, granulated</t>
  </si>
  <si>
    <t>Sugar, powdered</t>
  </si>
  <si>
    <t>Sugar, raw, cane</t>
  </si>
  <si>
    <t>Sugar, wet, beet</t>
  </si>
  <si>
    <t>Sugar, cane, knifed</t>
  </si>
  <si>
    <t>Sugar, refined</t>
  </si>
  <si>
    <t>Sugar, beet, pulp, dry</t>
  </si>
  <si>
    <t>Sugar, beet, pulp, wet</t>
  </si>
  <si>
    <t>Sulphate, powdered</t>
  </si>
  <si>
    <t>Sulphate, crushed, 12 mm and under</t>
  </si>
  <si>
    <t>Sulphate, 75 mm and under</t>
  </si>
  <si>
    <t>Sulphur, coarsed</t>
  </si>
  <si>
    <t>Sulphur, crushed</t>
  </si>
  <si>
    <t>Sulphur, powdered</t>
  </si>
  <si>
    <t>Taconite, pellets</t>
  </si>
  <si>
    <t>Talc, powdered</t>
  </si>
  <si>
    <t>Talc, 42 mm screenings</t>
  </si>
  <si>
    <t>Talc, 37 to 75 mm lumps</t>
  </si>
  <si>
    <t>Talc, solid</t>
  </si>
  <si>
    <t>Tallow</t>
  </si>
  <si>
    <t>Timothy seed</t>
  </si>
  <si>
    <t>Titanium dioxide</t>
  </si>
  <si>
    <t>Tanbark, ground</t>
  </si>
  <si>
    <t>Tankage</t>
  </si>
  <si>
    <t>Titanium sponge</t>
  </si>
  <si>
    <t>Tobacco leaves, dry</t>
  </si>
  <si>
    <t>Tobacco scraps</t>
  </si>
  <si>
    <t>Tobacco snuff</t>
  </si>
  <si>
    <t>Tobacco stems</t>
  </si>
  <si>
    <t>Traprookcrushed</t>
  </si>
  <si>
    <t>Traprook, 12 mm screenings</t>
  </si>
  <si>
    <t>Traprook, 50 to 75 mm lumps</t>
  </si>
  <si>
    <t>Trisodium phosphate</t>
  </si>
  <si>
    <t>Trisodium phosphate, granular</t>
  </si>
  <si>
    <t>Trisodium phosphate, pulverized</t>
  </si>
  <si>
    <t>Triple super phosphate</t>
  </si>
  <si>
    <t>Tung nut meats, crushed</t>
  </si>
  <si>
    <t>Urea, prills</t>
  </si>
  <si>
    <t>Vermiculite, expanded</t>
  </si>
  <si>
    <t>Vermiculite ore</t>
  </si>
  <si>
    <t>Walnut shells, crushed</t>
  </si>
  <si>
    <t>Wheat</t>
  </si>
  <si>
    <t>Wheat, cracked</t>
  </si>
  <si>
    <t>Wheat germ</t>
  </si>
  <si>
    <t>Wood chips</t>
  </si>
  <si>
    <t>Wood flour</t>
  </si>
  <si>
    <t>Wood shavings</t>
  </si>
  <si>
    <t>Zinc dust</t>
  </si>
  <si>
    <t>Zinc concentrates</t>
  </si>
  <si>
    <t>Zinc ore, crushed</t>
  </si>
  <si>
    <t>Zinc ore, roasted</t>
  </si>
  <si>
    <t>Zinc oxide, heavy</t>
  </si>
  <si>
    <t>Zinc oxide, light</t>
  </si>
  <si>
    <t>Average Bulk Density, t/m³</t>
  </si>
  <si>
    <t>mm</t>
  </si>
  <si>
    <t>Conveyor Capacity</t>
  </si>
  <si>
    <t>Cross-sectional area of load on belt</t>
  </si>
  <si>
    <t>A</t>
  </si>
  <si>
    <t>m2</t>
  </si>
  <si>
    <t>Slope Factor</t>
  </si>
  <si>
    <t>K</t>
  </si>
  <si>
    <t>Capacity</t>
  </si>
  <si>
    <t>Bulk Density</t>
  </si>
  <si>
    <t>Belt Speed</t>
  </si>
  <si>
    <t>Initial Velocity</t>
  </si>
  <si>
    <t>Belt Width</t>
  </si>
  <si>
    <t>Conveyor Length</t>
  </si>
  <si>
    <t>Lift / Elevation</t>
  </si>
  <si>
    <t>Slope Angle</t>
  </si>
  <si>
    <t>Artif. Friction Coeff</t>
  </si>
  <si>
    <t>Mass of carrying idlers</t>
  </si>
  <si>
    <t>Mass of return idlers</t>
  </si>
  <si>
    <t>Mass of belt</t>
  </si>
  <si>
    <t>Friction (Mat-Belt)</t>
  </si>
  <si>
    <t>Friction (Mat-Skirt)</t>
  </si>
  <si>
    <t>Skirt width</t>
  </si>
  <si>
    <t>Skirt length</t>
  </si>
  <si>
    <t>Belt Thickness</t>
  </si>
  <si>
    <t>Pulley Diameter</t>
  </si>
  <si>
    <t>Shaft Dia at bearing</t>
  </si>
  <si>
    <t>Vector sum tensions</t>
  </si>
  <si>
    <t>Average Belt Tension</t>
  </si>
  <si>
    <t>Trough Factor</t>
  </si>
  <si>
    <t>Friction (Idler-Belt)</t>
  </si>
  <si>
    <t>Length w/ tilted idlers</t>
  </si>
  <si>
    <t>Idler Tilt Angle</t>
  </si>
  <si>
    <t>Area of belt cleaner</t>
  </si>
  <si>
    <t>Cleaner Pressure</t>
  </si>
  <si>
    <t>Friction (Belt-Cleaner)</t>
  </si>
  <si>
    <t>Scraping Factor</t>
  </si>
  <si>
    <t>Drive Efficiency</t>
  </si>
  <si>
    <t>Gravity</t>
  </si>
  <si>
    <r>
      <t xml:space="preserve">Slope Factor </t>
    </r>
    <r>
      <rPr>
        <b/>
        <sz val="10"/>
        <color theme="1"/>
        <rFont val="Arial"/>
        <family val="2"/>
        <scheme val="minor"/>
      </rPr>
      <t>K</t>
    </r>
  </si>
  <si>
    <t>Motor Power</t>
  </si>
  <si>
    <t>Working time</t>
  </si>
  <si>
    <t>hours</t>
  </si>
  <si>
    <t>Service Factor</t>
  </si>
  <si>
    <t>SF</t>
  </si>
  <si>
    <t>Gearbox Power</t>
  </si>
  <si>
    <t>P_G</t>
  </si>
  <si>
    <t>High Speed Coupling</t>
  </si>
  <si>
    <t>Speed of Motor</t>
  </si>
  <si>
    <t>N_M</t>
  </si>
  <si>
    <t>rpm</t>
  </si>
  <si>
    <t>N_CH</t>
  </si>
  <si>
    <t>N_CL</t>
  </si>
  <si>
    <t>Pulley Face Width</t>
  </si>
  <si>
    <t>Resultant Pulley Load</t>
  </si>
  <si>
    <t>F</t>
  </si>
  <si>
    <t>Maximum Bending Moment</t>
  </si>
  <si>
    <t>M</t>
  </si>
  <si>
    <t>N-mm</t>
  </si>
  <si>
    <t>Equivalent Torque</t>
  </si>
  <si>
    <t>T_eq</t>
  </si>
  <si>
    <t>Allowable Shear Stress</t>
  </si>
  <si>
    <t>Tau</t>
  </si>
  <si>
    <t>MPa</t>
  </si>
  <si>
    <t>Pulley Shaft Diameter</t>
  </si>
  <si>
    <t>T_1</t>
  </si>
  <si>
    <t>T_2</t>
  </si>
  <si>
    <t>Belt Width (mm)</t>
  </si>
  <si>
    <t>Trough Angle</t>
  </si>
  <si>
    <t>Surcharge Angle</t>
  </si>
  <si>
    <t>degree</t>
  </si>
  <si>
    <t xml:space="preserve">Surcharge Angle </t>
  </si>
  <si>
    <t>Area</t>
  </si>
  <si>
    <t>Table 4: Lump Size Factor</t>
  </si>
  <si>
    <t>Factor</t>
  </si>
  <si>
    <t>Fine Grain to Dust</t>
  </si>
  <si>
    <t>Granular</t>
  </si>
  <si>
    <t>Sized</t>
  </si>
  <si>
    <t>Unsized</t>
  </si>
  <si>
    <t>Table 5: Abrasiveness Factor</t>
  </si>
  <si>
    <t>Non Abrasiveness</t>
  </si>
  <si>
    <t>Mildly Abrasiveness</t>
  </si>
  <si>
    <t>Abrasiveness</t>
  </si>
  <si>
    <t>Very Abrasiveness</t>
  </si>
  <si>
    <t>Speed Factor</t>
  </si>
  <si>
    <t>Lump Size</t>
  </si>
  <si>
    <t>External cleaner count</t>
  </si>
  <si>
    <t>Internal cleaner count</t>
  </si>
  <si>
    <t>External cleaner thickness</t>
  </si>
  <si>
    <t>Internal cleaner thickness</t>
  </si>
  <si>
    <t>External cleaner pressure</t>
  </si>
  <si>
    <t>Internal cleaner pressure</t>
  </si>
  <si>
    <t>N/m2</t>
  </si>
  <si>
    <t>Slack side Tension</t>
  </si>
  <si>
    <t>Tight side Tension</t>
  </si>
  <si>
    <t>Drive Coeffiecient</t>
  </si>
  <si>
    <t>Wrap Angle</t>
  </si>
  <si>
    <t>Low Speed Coupling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</si>
</sst>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  <fill>
      <patternFill patternType="solid">
        <fgColor rgb="FFBFDDF0"/>
        <bgColor indexed="64"/>
      </patternFill>
    </fill>
    <fill>
      <patternFill patternType="solid">
        <fgColor rgb="FFFFF9D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6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2" fillId="0" borderId="0"/>
  </cellStyleXfs>
  <cellXfs count="72">
    <xf numFmtId="0" fontId="0" fillId="0" borderId="0" xfId="0" applyFont="1" applyAlignment="1"/>
    <xf numFmtId="0" fontId="3" fillId="0" borderId="0" xfId="0" applyFont="1" applyAlignment="1"/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6" fillId="0" borderId="0" xfId="1" applyFont="1" applyAlignment="1"/>
    <xf numFmtId="0" fontId="7" fillId="0" borderId="0" xfId="1" applyFont="1" applyAlignment="1"/>
    <xf numFmtId="0" fontId="4" fillId="0" borderId="0" xfId="1" applyFont="1" applyAlignment="1"/>
    <xf numFmtId="0" fontId="7" fillId="3" borderId="4" xfId="0" applyFont="1" applyFill="1" applyBorder="1" applyAlignment="1"/>
    <xf numFmtId="0" fontId="3" fillId="4" borderId="0" xfId="0" applyFont="1" applyFill="1" applyBorder="1" applyAlignment="1"/>
    <xf numFmtId="0" fontId="3" fillId="4" borderId="5" xfId="0" applyFont="1" applyFill="1" applyBorder="1" applyAlignment="1"/>
    <xf numFmtId="0" fontId="7" fillId="4" borderId="0" xfId="0" applyFont="1" applyFill="1" applyBorder="1" applyAlignment="1"/>
    <xf numFmtId="0" fontId="7" fillId="4" borderId="5" xfId="0" applyFont="1" applyFill="1" applyBorder="1" applyAlignment="1"/>
    <xf numFmtId="0" fontId="3" fillId="4" borderId="8" xfId="0" applyFont="1" applyFill="1" applyBorder="1" applyAlignment="1"/>
    <xf numFmtId="0" fontId="3" fillId="5" borderId="0" xfId="0" applyFont="1" applyFill="1" applyBorder="1" applyAlignment="1"/>
    <xf numFmtId="0" fontId="3" fillId="5" borderId="5" xfId="0" applyFont="1" applyFill="1" applyBorder="1" applyAlignment="1"/>
    <xf numFmtId="0" fontId="7" fillId="5" borderId="5" xfId="0" applyFont="1" applyFill="1" applyBorder="1" applyAlignment="1"/>
    <xf numFmtId="0" fontId="4" fillId="2" borderId="9" xfId="0" applyFont="1" applyFill="1" applyBorder="1" applyAlignment="1"/>
    <xf numFmtId="0" fontId="4" fillId="2" borderId="10" xfId="0" applyFont="1" applyFill="1" applyBorder="1" applyAlignment="1"/>
    <xf numFmtId="0" fontId="4" fillId="2" borderId="11" xfId="0" applyFont="1" applyFill="1" applyBorder="1" applyAlignment="1"/>
    <xf numFmtId="0" fontId="3" fillId="3" borderId="4" xfId="0" applyFont="1" applyFill="1" applyBorder="1" applyAlignment="1"/>
    <xf numFmtId="0" fontId="3" fillId="3" borderId="6" xfId="0" applyFont="1" applyFill="1" applyBorder="1" applyAlignment="1"/>
    <xf numFmtId="0" fontId="3" fillId="4" borderId="0" xfId="0" applyFont="1" applyFill="1" applyBorder="1"/>
    <xf numFmtId="0" fontId="3" fillId="4" borderId="7" xfId="0" applyFont="1" applyFill="1" applyBorder="1"/>
    <xf numFmtId="0" fontId="3" fillId="2" borderId="9" xfId="0" applyFont="1" applyFill="1" applyBorder="1" applyAlignment="1"/>
    <xf numFmtId="0" fontId="7" fillId="2" borderId="11" xfId="0" applyFont="1" applyFill="1" applyBorder="1" applyAlignment="1"/>
    <xf numFmtId="0" fontId="3" fillId="3" borderId="3" xfId="0" applyFont="1" applyFill="1" applyBorder="1" applyAlignment="1"/>
    <xf numFmtId="0" fontId="3" fillId="3" borderId="5" xfId="0" applyFont="1" applyFill="1" applyBorder="1" applyAlignment="1"/>
    <xf numFmtId="0" fontId="7" fillId="3" borderId="5" xfId="0" applyFont="1" applyFill="1" applyBorder="1" applyAlignment="1"/>
    <xf numFmtId="0" fontId="3" fillId="3" borderId="8" xfId="0" applyFont="1" applyFill="1" applyBorder="1" applyAlignment="1"/>
    <xf numFmtId="0" fontId="7" fillId="3" borderId="3" xfId="0" applyFont="1" applyFill="1" applyBorder="1" applyAlignment="1"/>
    <xf numFmtId="0" fontId="3" fillId="3" borderId="4" xfId="0" applyFont="1" applyFill="1" applyBorder="1"/>
    <xf numFmtId="0" fontId="3" fillId="3" borderId="3" xfId="0" applyFont="1" applyFill="1" applyBorder="1"/>
    <xf numFmtId="0" fontId="3" fillId="3" borderId="5" xfId="0" applyFont="1" applyFill="1" applyBorder="1"/>
    <xf numFmtId="0" fontId="0" fillId="4" borderId="0" xfId="0" applyFill="1" applyBorder="1"/>
    <xf numFmtId="0" fontId="0" fillId="4" borderId="5" xfId="0" applyFill="1" applyBorder="1"/>
    <xf numFmtId="0" fontId="0" fillId="3" borderId="4" xfId="0" applyFill="1" applyBorder="1"/>
    <xf numFmtId="0" fontId="0" fillId="3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3" borderId="5" xfId="0" applyFill="1" applyBorder="1"/>
    <xf numFmtId="0" fontId="0" fillId="3" borderId="8" xfId="0" applyFill="1" applyBorder="1"/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2" fillId="0" borderId="0" xfId="2"/>
    <xf numFmtId="0" fontId="1" fillId="0" borderId="0" xfId="2" applyFont="1"/>
    <xf numFmtId="0" fontId="6" fillId="0" borderId="0" xfId="0" applyFont="1" applyAlignment="1"/>
    <xf numFmtId="0" fontId="0" fillId="3" borderId="4" xfId="0" applyFont="1" applyFill="1" applyBorder="1" applyAlignment="1"/>
    <xf numFmtId="0" fontId="0" fillId="3" borderId="5" xfId="0" applyFont="1" applyFill="1" applyBorder="1" applyAlignment="1"/>
    <xf numFmtId="0" fontId="0" fillId="3" borderId="6" xfId="0" applyFont="1" applyFill="1" applyBorder="1" applyAlignment="1"/>
    <xf numFmtId="0" fontId="0" fillId="3" borderId="8" xfId="0" applyFont="1" applyFill="1" applyBorder="1" applyAlignment="1"/>
    <xf numFmtId="0" fontId="0" fillId="4" borderId="0" xfId="0" applyFont="1" applyFill="1" applyBorder="1" applyAlignment="1"/>
    <xf numFmtId="0" fontId="0" fillId="4" borderId="5" xfId="0" applyFont="1" applyFill="1" applyBorder="1" applyAlignment="1"/>
    <xf numFmtId="0" fontId="6" fillId="4" borderId="5" xfId="0" applyFont="1" applyFill="1" applyBorder="1" applyAlignment="1"/>
    <xf numFmtId="0" fontId="0" fillId="4" borderId="7" xfId="0" applyFont="1" applyFill="1" applyBorder="1" applyAlignment="1"/>
    <xf numFmtId="0" fontId="6" fillId="4" borderId="8" xfId="0" applyFont="1" applyFill="1" applyBorder="1" applyAlignment="1"/>
    <xf numFmtId="0" fontId="0" fillId="4" borderId="0" xfId="0" applyFont="1" applyFill="1" applyAlignment="1"/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2" applyFont="1" applyAlignment="1">
      <alignment horizontal="center"/>
    </xf>
    <xf numFmtId="0" fontId="2" fillId="0" borderId="0" xfId="2" applyAlignment="1">
      <alignment horizontal="center"/>
    </xf>
  </cellXfs>
  <cellStyles count="3">
    <cellStyle name="Normal" xfId="0" builtinId="0"/>
    <cellStyle name="Normal 2" xfId="1" xr:uid="{963B2854-F894-4CC9-AFF5-9591D0B227B5}"/>
    <cellStyle name="Normal 3" xfId="2" xr:uid="{794BC6C5-8904-424D-AF4D-76350CAE1897}"/>
  </cellStyles>
  <dxfs count="0"/>
  <tableStyles count="0" defaultTableStyle="TableStyleMedium2" defaultPivotStyle="PivotStyleLight16"/>
  <colors>
    <mruColors>
      <color rgb="FFFF99FF"/>
      <color rgb="FFFFF9D2"/>
      <color rgb="FFBFDDF0"/>
      <color rgb="FF66FF99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S149"/>
  <sheetViews>
    <sheetView tabSelected="1" workbookViewId="0">
      <selection activeCell="G11" sqref="G11"/>
    </sheetView>
  </sheetViews>
  <sheetFormatPr defaultColWidth="12.6328125" defaultRowHeight="15.75" customHeight="1" x14ac:dyDescent="0.25"/>
  <cols>
    <col min="2" max="2" width="30.36328125" customWidth="1"/>
    <col min="6" max="6" width="16.453125" customWidth="1"/>
    <col min="9" max="9" width="22.08984375" customWidth="1"/>
    <col min="10" max="10" width="19" customWidth="1"/>
  </cols>
  <sheetData>
    <row r="2" spans="2:6" ht="15.75" customHeight="1" x14ac:dyDescent="0.25">
      <c r="B2" s="58" t="s">
        <v>0</v>
      </c>
      <c r="C2" s="59"/>
      <c r="D2" s="59"/>
      <c r="E2" s="60"/>
    </row>
    <row r="3" spans="2:6" ht="15.75" customHeight="1" x14ac:dyDescent="0.25">
      <c r="B3" s="61"/>
      <c r="C3" s="62"/>
      <c r="D3" s="62"/>
      <c r="E3" s="63"/>
    </row>
    <row r="4" spans="2:6" s="4" customFormat="1" ht="15.75" customHeight="1" x14ac:dyDescent="0.3">
      <c r="B4" s="17" t="s">
        <v>1</v>
      </c>
      <c r="C4" s="18" t="s">
        <v>2</v>
      </c>
      <c r="D4" s="18" t="s">
        <v>3</v>
      </c>
      <c r="E4" s="19" t="s">
        <v>4</v>
      </c>
      <c r="F4" s="3"/>
    </row>
    <row r="5" spans="2:6" ht="15.75" customHeight="1" x14ac:dyDescent="0.25">
      <c r="B5" s="8" t="s">
        <v>555</v>
      </c>
      <c r="C5" s="26" t="s">
        <v>5</v>
      </c>
      <c r="D5" s="14">
        <v>200</v>
      </c>
      <c r="E5" s="15" t="s">
        <v>6</v>
      </c>
    </row>
    <row r="6" spans="2:6" ht="15.75" customHeight="1" x14ac:dyDescent="0.25">
      <c r="B6" s="8" t="s">
        <v>93</v>
      </c>
      <c r="C6" s="27"/>
      <c r="D6" s="14" t="s">
        <v>346</v>
      </c>
      <c r="E6" s="15"/>
    </row>
    <row r="7" spans="2:6" ht="15.75" customHeight="1" x14ac:dyDescent="0.25">
      <c r="B7" s="8" t="s">
        <v>556</v>
      </c>
      <c r="C7" s="27" t="s">
        <v>7</v>
      </c>
      <c r="D7" s="9">
        <f>_xlfn.XLOOKUP(D6,'Density - IS8730'!A2:A455,'Density - IS8730'!B2:B455)</f>
        <v>1.4</v>
      </c>
      <c r="E7" s="10" t="s">
        <v>8</v>
      </c>
    </row>
    <row r="8" spans="2:6" ht="15.75" customHeight="1" x14ac:dyDescent="0.25">
      <c r="B8" s="20" t="s">
        <v>632</v>
      </c>
      <c r="C8" s="27"/>
      <c r="D8" s="14" t="s">
        <v>623</v>
      </c>
      <c r="E8" s="15"/>
    </row>
    <row r="9" spans="2:6" ht="15.75" customHeight="1" x14ac:dyDescent="0.25">
      <c r="B9" s="20" t="s">
        <v>629</v>
      </c>
      <c r="C9" s="27"/>
      <c r="D9" s="14" t="s">
        <v>629</v>
      </c>
      <c r="E9" s="15"/>
    </row>
    <row r="10" spans="2:6" ht="15.75" customHeight="1" x14ac:dyDescent="0.25">
      <c r="B10" s="20" t="s">
        <v>631</v>
      </c>
      <c r="C10" s="27"/>
      <c r="D10" s="9">
        <f>(_xlfn.XLOOKUP(D8,F118:F121,G118:G121)+(_xlfn.XLOOKUP(D9,J117:J120,K117:K120)))</f>
        <v>4</v>
      </c>
      <c r="E10" s="10"/>
    </row>
    <row r="11" spans="2:6" ht="15.75" customHeight="1" x14ac:dyDescent="0.25">
      <c r="B11" s="8" t="s">
        <v>557</v>
      </c>
      <c r="C11" s="27" t="s">
        <v>9</v>
      </c>
      <c r="D11" s="9">
        <f>INDEX(G132:S139,MATCH(D10,F132:F139,0),MATCH(D13,G130:S130,0))</f>
        <v>2.75</v>
      </c>
      <c r="E11" s="10" t="s">
        <v>10</v>
      </c>
    </row>
    <row r="12" spans="2:6" ht="15.75" customHeight="1" x14ac:dyDescent="0.25">
      <c r="B12" s="8" t="s">
        <v>558</v>
      </c>
      <c r="C12" s="27" t="s">
        <v>11</v>
      </c>
      <c r="D12" s="9">
        <v>0</v>
      </c>
      <c r="E12" s="10" t="s">
        <v>10</v>
      </c>
      <c r="F12" s="1"/>
    </row>
    <row r="13" spans="2:6" ht="15.75" customHeight="1" x14ac:dyDescent="0.25">
      <c r="B13" s="8" t="s">
        <v>559</v>
      </c>
      <c r="C13" s="28" t="s">
        <v>12</v>
      </c>
      <c r="D13" s="14">
        <v>800</v>
      </c>
      <c r="E13" s="16" t="s">
        <v>548</v>
      </c>
      <c r="F13" s="1"/>
    </row>
    <row r="14" spans="2:6" ht="15.75" customHeight="1" x14ac:dyDescent="0.25">
      <c r="B14" s="20" t="s">
        <v>615</v>
      </c>
      <c r="C14" s="28"/>
      <c r="D14" s="14">
        <v>25</v>
      </c>
      <c r="E14" s="15" t="s">
        <v>617</v>
      </c>
      <c r="F14" s="1"/>
    </row>
    <row r="15" spans="2:6" ht="15.75" customHeight="1" x14ac:dyDescent="0.25">
      <c r="B15" s="20" t="s">
        <v>616</v>
      </c>
      <c r="C15" s="28"/>
      <c r="D15" s="14">
        <v>30</v>
      </c>
      <c r="E15" s="15" t="s">
        <v>617</v>
      </c>
      <c r="F15" s="1"/>
    </row>
    <row r="16" spans="2:6" ht="15.75" customHeight="1" x14ac:dyDescent="0.25">
      <c r="B16" s="8" t="s">
        <v>559</v>
      </c>
      <c r="C16" s="27" t="s">
        <v>12</v>
      </c>
      <c r="D16" s="9">
        <f>D13/1000</f>
        <v>0.8</v>
      </c>
      <c r="E16" s="10" t="s">
        <v>13</v>
      </c>
    </row>
    <row r="17" spans="2:6" ht="15.75" customHeight="1" x14ac:dyDescent="0.25">
      <c r="B17" s="8" t="s">
        <v>550</v>
      </c>
      <c r="C17" s="28" t="s">
        <v>551</v>
      </c>
      <c r="D17" s="9" cm="1">
        <f t="array" ref="D17">INDEX('Table 7 - Max Area'!$C$3:$H$54,
MATCH(1,('Table 7 - Max Area'!$A$3:$A$54=$D$13)*('Table 7 - Max Area'!$B$3:$B$54=$D$15),0),
MATCH($D$14,'Table 7 - Max Area'!$C$2:$H$2,0))</f>
        <v>7.22E-2</v>
      </c>
      <c r="E17" s="12" t="s">
        <v>552</v>
      </c>
    </row>
    <row r="18" spans="2:6" ht="15.75" customHeight="1" x14ac:dyDescent="0.25">
      <c r="B18" s="8" t="s">
        <v>560</v>
      </c>
      <c r="C18" s="27" t="s">
        <v>14</v>
      </c>
      <c r="D18" s="14">
        <v>109</v>
      </c>
      <c r="E18" s="15" t="s">
        <v>13</v>
      </c>
      <c r="F18" s="1"/>
    </row>
    <row r="19" spans="2:6" ht="15.75" customHeight="1" x14ac:dyDescent="0.25">
      <c r="B19" s="8" t="s">
        <v>561</v>
      </c>
      <c r="C19" s="27" t="s">
        <v>15</v>
      </c>
      <c r="D19" s="14">
        <v>24</v>
      </c>
      <c r="E19" s="15" t="s">
        <v>13</v>
      </c>
    </row>
    <row r="20" spans="2:6" ht="15.75" customHeight="1" x14ac:dyDescent="0.25">
      <c r="B20" s="8" t="s">
        <v>562</v>
      </c>
      <c r="C20" s="27"/>
      <c r="D20" s="9">
        <f>DEGREES(ATAN(D19/D18))</f>
        <v>12.417445790076302</v>
      </c>
      <c r="E20" s="10" t="s">
        <v>16</v>
      </c>
    </row>
    <row r="21" spans="2:6" ht="15.75" customHeight="1" x14ac:dyDescent="0.25">
      <c r="B21" s="8" t="s">
        <v>553</v>
      </c>
      <c r="C21" s="28" t="s">
        <v>554</v>
      </c>
      <c r="D21" s="9">
        <f>_xlfn.XLOOKUP(EVEN(ROUNDUP(D20,0)),B118:B127,C118:C127)</f>
        <v>0.91</v>
      </c>
      <c r="E21" s="10"/>
    </row>
    <row r="22" spans="2:6" ht="15.75" customHeight="1" x14ac:dyDescent="0.25">
      <c r="B22" s="20" t="s">
        <v>588</v>
      </c>
      <c r="C22" s="27" t="s">
        <v>27</v>
      </c>
      <c r="D22" s="14">
        <v>10</v>
      </c>
      <c r="E22" s="15" t="s">
        <v>589</v>
      </c>
    </row>
    <row r="23" spans="2:6" ht="15.75" customHeight="1" x14ac:dyDescent="0.25">
      <c r="B23" s="20" t="s">
        <v>590</v>
      </c>
      <c r="C23" s="27" t="s">
        <v>591</v>
      </c>
      <c r="D23" s="9" cm="1">
        <f t="array" ref="D23">_xlfn.IFS(D22&lt;8, 1.2, AND(D22&gt;=8, D22&lt;=12), 1.6, D22&gt;12, 2)</f>
        <v>1.6</v>
      </c>
      <c r="E23" s="10"/>
    </row>
    <row r="24" spans="2:6" ht="15.75" customHeight="1" x14ac:dyDescent="0.25">
      <c r="B24" s="8" t="s">
        <v>563</v>
      </c>
      <c r="C24" s="27" t="s">
        <v>17</v>
      </c>
      <c r="D24" s="9">
        <v>0.02</v>
      </c>
      <c r="E24" s="10" t="s">
        <v>18</v>
      </c>
      <c r="F24" s="1"/>
    </row>
    <row r="25" spans="2:6" ht="15.75" customHeight="1" x14ac:dyDescent="0.25">
      <c r="B25" s="8" t="s">
        <v>564</v>
      </c>
      <c r="C25" s="27" t="s">
        <v>19</v>
      </c>
      <c r="D25" s="9">
        <v>20</v>
      </c>
      <c r="E25" s="10" t="s">
        <v>20</v>
      </c>
    </row>
    <row r="26" spans="2:6" ht="15.75" customHeight="1" x14ac:dyDescent="0.25">
      <c r="B26" s="8" t="s">
        <v>565</v>
      </c>
      <c r="C26" s="27" t="s">
        <v>21</v>
      </c>
      <c r="D26" s="9">
        <v>10</v>
      </c>
      <c r="E26" s="10" t="s">
        <v>20</v>
      </c>
    </row>
    <row r="27" spans="2:6" ht="15.75" customHeight="1" x14ac:dyDescent="0.25">
      <c r="B27" s="8" t="s">
        <v>566</v>
      </c>
      <c r="C27" s="27" t="s">
        <v>22</v>
      </c>
      <c r="D27" s="9">
        <v>15</v>
      </c>
      <c r="E27" s="10" t="s">
        <v>20</v>
      </c>
    </row>
    <row r="28" spans="2:6" ht="15.75" customHeight="1" x14ac:dyDescent="0.25">
      <c r="B28" s="8" t="s">
        <v>567</v>
      </c>
      <c r="C28" s="27" t="s">
        <v>23</v>
      </c>
      <c r="D28" s="9">
        <v>0.6</v>
      </c>
      <c r="E28" s="10" t="s">
        <v>18</v>
      </c>
      <c r="F28" s="1"/>
    </row>
    <row r="29" spans="2:6" ht="15.75" customHeight="1" x14ac:dyDescent="0.25">
      <c r="B29" s="8" t="s">
        <v>568</v>
      </c>
      <c r="C29" s="27" t="s">
        <v>24</v>
      </c>
      <c r="D29" s="9">
        <v>0.6</v>
      </c>
      <c r="E29" s="10" t="s">
        <v>18</v>
      </c>
      <c r="F29" s="1"/>
    </row>
    <row r="30" spans="2:6" ht="15.75" customHeight="1" x14ac:dyDescent="0.25">
      <c r="B30" s="8" t="s">
        <v>569</v>
      </c>
      <c r="C30" s="27" t="s">
        <v>25</v>
      </c>
      <c r="D30" s="9">
        <v>0.7</v>
      </c>
      <c r="E30" s="10" t="s">
        <v>13</v>
      </c>
    </row>
    <row r="31" spans="2:6" ht="15.75" customHeight="1" x14ac:dyDescent="0.25">
      <c r="B31" s="8" t="s">
        <v>570</v>
      </c>
      <c r="C31" s="27" t="s">
        <v>26</v>
      </c>
      <c r="D31" s="9">
        <v>2</v>
      </c>
      <c r="E31" s="10" t="s">
        <v>13</v>
      </c>
      <c r="F31" s="1"/>
    </row>
    <row r="32" spans="2:6" ht="15.75" customHeight="1" x14ac:dyDescent="0.25">
      <c r="B32" s="8" t="s">
        <v>571</v>
      </c>
      <c r="C32" s="27" t="s">
        <v>27</v>
      </c>
      <c r="D32" s="9">
        <v>1.4999999999999999E-2</v>
      </c>
      <c r="E32" s="10" t="s">
        <v>13</v>
      </c>
    </row>
    <row r="33" spans="2:6" ht="12.5" x14ac:dyDescent="0.25">
      <c r="B33" s="8" t="s">
        <v>572</v>
      </c>
      <c r="C33" s="27" t="s">
        <v>28</v>
      </c>
      <c r="D33" s="14">
        <v>0.6</v>
      </c>
      <c r="E33" s="15" t="s">
        <v>13</v>
      </c>
    </row>
    <row r="34" spans="2:6" ht="12.5" x14ac:dyDescent="0.25">
      <c r="B34" s="8" t="s">
        <v>573</v>
      </c>
      <c r="C34" s="27" t="s">
        <v>29</v>
      </c>
      <c r="D34" s="9">
        <v>0.1</v>
      </c>
      <c r="E34" s="10" t="s">
        <v>13</v>
      </c>
    </row>
    <row r="35" spans="2:6" ht="12.5" x14ac:dyDescent="0.25">
      <c r="B35" s="8" t="s">
        <v>574</v>
      </c>
      <c r="C35" s="27" t="s">
        <v>30</v>
      </c>
      <c r="D35" s="9">
        <v>20000</v>
      </c>
      <c r="E35" s="10" t="s">
        <v>31</v>
      </c>
      <c r="F35" s="1"/>
    </row>
    <row r="36" spans="2:6" ht="12.5" x14ac:dyDescent="0.25">
      <c r="B36" s="8" t="s">
        <v>575</v>
      </c>
      <c r="C36" s="27" t="s">
        <v>32</v>
      </c>
      <c r="D36" s="9">
        <v>15000</v>
      </c>
      <c r="E36" s="10" t="s">
        <v>33</v>
      </c>
    </row>
    <row r="37" spans="2:6" ht="12.5" x14ac:dyDescent="0.25">
      <c r="B37" s="8" t="s">
        <v>576</v>
      </c>
      <c r="C37" s="27" t="s">
        <v>34</v>
      </c>
      <c r="D37" s="9">
        <v>0.4</v>
      </c>
      <c r="E37" s="10" t="s">
        <v>18</v>
      </c>
      <c r="F37" s="1"/>
    </row>
    <row r="38" spans="2:6" ht="12.5" x14ac:dyDescent="0.25">
      <c r="B38" s="8" t="s">
        <v>577</v>
      </c>
      <c r="C38" s="27" t="s">
        <v>35</v>
      </c>
      <c r="D38" s="9">
        <v>0.3</v>
      </c>
      <c r="E38" s="10" t="s">
        <v>18</v>
      </c>
      <c r="F38" s="1"/>
    </row>
    <row r="39" spans="2:6" ht="12.5" x14ac:dyDescent="0.25">
      <c r="B39" s="8" t="s">
        <v>578</v>
      </c>
      <c r="C39" s="27" t="s">
        <v>36</v>
      </c>
      <c r="D39" s="9">
        <v>20</v>
      </c>
      <c r="E39" s="10" t="s">
        <v>13</v>
      </c>
    </row>
    <row r="40" spans="2:6" ht="12.5" x14ac:dyDescent="0.25">
      <c r="B40" s="8" t="s">
        <v>579</v>
      </c>
      <c r="C40" s="27" t="s">
        <v>37</v>
      </c>
      <c r="D40" s="9">
        <v>3</v>
      </c>
      <c r="E40" s="10" t="s">
        <v>16</v>
      </c>
    </row>
    <row r="41" spans="2:6" ht="12.5" x14ac:dyDescent="0.25">
      <c r="B41" s="8" t="s">
        <v>580</v>
      </c>
      <c r="C41" s="27" t="s">
        <v>38</v>
      </c>
      <c r="D41" s="9">
        <f>((D51*(D13/1000)*(D53/1000)*D55*D43)+(D52*(D13/1000)*(D54/1000)*D56*D43))/1000000</f>
        <v>1.4144000000000001E-3</v>
      </c>
      <c r="E41" s="10" t="s">
        <v>39</v>
      </c>
      <c r="F41" s="1"/>
    </row>
    <row r="42" spans="2:6" ht="12.5" x14ac:dyDescent="0.25">
      <c r="B42" s="8" t="s">
        <v>581</v>
      </c>
      <c r="C42" s="27" t="s">
        <v>40</v>
      </c>
      <c r="D42" s="9">
        <v>30000</v>
      </c>
      <c r="E42" s="10" t="s">
        <v>41</v>
      </c>
      <c r="F42" s="1"/>
    </row>
    <row r="43" spans="2:6" ht="12.5" x14ac:dyDescent="0.25">
      <c r="B43" s="8" t="s">
        <v>582</v>
      </c>
      <c r="C43" s="27" t="s">
        <v>42</v>
      </c>
      <c r="D43" s="9">
        <v>0.65</v>
      </c>
      <c r="E43" s="10" t="s">
        <v>18</v>
      </c>
      <c r="F43" s="1"/>
    </row>
    <row r="44" spans="2:6" ht="12.5" x14ac:dyDescent="0.25">
      <c r="B44" s="8" t="s">
        <v>583</v>
      </c>
      <c r="C44" s="27" t="s">
        <v>43</v>
      </c>
      <c r="D44" s="9">
        <v>1500</v>
      </c>
      <c r="E44" s="10" t="s">
        <v>33</v>
      </c>
      <c r="F44" s="1"/>
    </row>
    <row r="45" spans="2:6" ht="12.5" x14ac:dyDescent="0.25">
      <c r="B45" s="8" t="s">
        <v>584</v>
      </c>
      <c r="C45" s="27" t="s">
        <v>44</v>
      </c>
      <c r="D45" s="9">
        <v>0.94</v>
      </c>
      <c r="E45" s="10" t="s">
        <v>18</v>
      </c>
      <c r="F45" s="1"/>
    </row>
    <row r="46" spans="2:6" ht="12.5" x14ac:dyDescent="0.25">
      <c r="B46" s="8" t="s">
        <v>585</v>
      </c>
      <c r="C46" s="27" t="s">
        <v>45</v>
      </c>
      <c r="D46" s="9">
        <v>9.81</v>
      </c>
      <c r="E46" s="10" t="s">
        <v>46</v>
      </c>
    </row>
    <row r="47" spans="2:6" ht="12.5" x14ac:dyDescent="0.25">
      <c r="B47" s="20" t="s">
        <v>642</v>
      </c>
      <c r="C47" s="27"/>
      <c r="D47" s="9">
        <v>2.2000000000000002</v>
      </c>
      <c r="E47" s="10"/>
    </row>
    <row r="48" spans="2:6" ht="12.5" x14ac:dyDescent="0.25">
      <c r="B48" s="20" t="s">
        <v>643</v>
      </c>
      <c r="C48" s="27"/>
      <c r="D48" s="9">
        <v>210</v>
      </c>
      <c r="E48" s="10" t="s">
        <v>617</v>
      </c>
    </row>
    <row r="49" spans="2:6" ht="12.5" x14ac:dyDescent="0.25">
      <c r="B49" s="20" t="s">
        <v>641</v>
      </c>
      <c r="C49" s="27" t="s">
        <v>612</v>
      </c>
      <c r="D49" s="9">
        <f>D80*(D47/(EXP(D28*RADIANS(D48))-1)+1)</f>
        <v>111.5562731942676</v>
      </c>
      <c r="E49" s="10" t="s">
        <v>31</v>
      </c>
    </row>
    <row r="50" spans="2:6" ht="12.5" x14ac:dyDescent="0.25">
      <c r="B50" s="20" t="s">
        <v>640</v>
      </c>
      <c r="C50" s="27" t="s">
        <v>613</v>
      </c>
      <c r="D50" s="9">
        <f>D80*(D47/(EXP(D29*RADIANS(D48))-1))</f>
        <v>24.021054493725163</v>
      </c>
      <c r="E50" s="10" t="s">
        <v>31</v>
      </c>
    </row>
    <row r="51" spans="2:6" ht="12.5" x14ac:dyDescent="0.25">
      <c r="B51" s="48" t="s">
        <v>633</v>
      </c>
      <c r="C51" s="49"/>
      <c r="D51" s="52">
        <v>2</v>
      </c>
      <c r="E51" s="53"/>
    </row>
    <row r="52" spans="2:6" ht="12.5" x14ac:dyDescent="0.25">
      <c r="B52" s="48" t="s">
        <v>634</v>
      </c>
      <c r="C52" s="49"/>
      <c r="D52" s="52">
        <v>1</v>
      </c>
      <c r="E52" s="53"/>
    </row>
    <row r="53" spans="2:6" ht="12.5" x14ac:dyDescent="0.25">
      <c r="B53" s="48" t="s">
        <v>635</v>
      </c>
      <c r="C53" s="49"/>
      <c r="D53" s="52">
        <v>12</v>
      </c>
      <c r="E53" s="54" t="s">
        <v>548</v>
      </c>
    </row>
    <row r="54" spans="2:6" ht="12.5" x14ac:dyDescent="0.25">
      <c r="B54" s="48" t="s">
        <v>636</v>
      </c>
      <c r="C54" s="49"/>
      <c r="D54" s="52">
        <v>16</v>
      </c>
      <c r="E54" s="54" t="s">
        <v>548</v>
      </c>
    </row>
    <row r="55" spans="2:6" ht="12.5" x14ac:dyDescent="0.25">
      <c r="B55" s="48" t="s">
        <v>637</v>
      </c>
      <c r="C55" s="49"/>
      <c r="D55" s="52">
        <v>80000</v>
      </c>
      <c r="E55" s="54" t="s">
        <v>639</v>
      </c>
    </row>
    <row r="56" spans="2:6" ht="12.5" x14ac:dyDescent="0.25">
      <c r="B56" s="50" t="s">
        <v>638</v>
      </c>
      <c r="C56" s="51"/>
      <c r="D56" s="55">
        <v>50000</v>
      </c>
      <c r="E56" s="56" t="s">
        <v>639</v>
      </c>
      <c r="F56" s="1"/>
    </row>
    <row r="57" spans="2:6" ht="12.5" x14ac:dyDescent="0.25">
      <c r="E57" s="47"/>
      <c r="F57" s="1"/>
    </row>
    <row r="58" spans="2:6" ht="12.5" x14ac:dyDescent="0.25">
      <c r="E58" s="47"/>
      <c r="F58" s="1"/>
    </row>
    <row r="59" spans="2:6" ht="12.5" x14ac:dyDescent="0.25">
      <c r="E59" s="47"/>
      <c r="F59" s="1"/>
    </row>
    <row r="60" spans="2:6" ht="12.5" x14ac:dyDescent="0.25">
      <c r="E60" s="47"/>
      <c r="F60" s="1"/>
    </row>
    <row r="61" spans="2:6" ht="12.5" x14ac:dyDescent="0.25">
      <c r="E61" s="47"/>
      <c r="F61" s="1"/>
    </row>
    <row r="62" spans="2:6" ht="12.5" x14ac:dyDescent="0.25">
      <c r="E62" s="47"/>
      <c r="F62" s="1"/>
    </row>
    <row r="63" spans="2:6" s="4" customFormat="1" ht="13" x14ac:dyDescent="0.3">
      <c r="B63" s="17" t="s">
        <v>47</v>
      </c>
      <c r="C63" s="18" t="s">
        <v>2</v>
      </c>
      <c r="D63" s="18" t="s">
        <v>3</v>
      </c>
      <c r="E63" s="19" t="s">
        <v>4</v>
      </c>
      <c r="F63" s="3"/>
    </row>
    <row r="64" spans="2:6" s="4" customFormat="1" ht="13" x14ac:dyDescent="0.3">
      <c r="B64" s="8" t="s">
        <v>549</v>
      </c>
      <c r="C64" s="30" t="s">
        <v>5</v>
      </c>
      <c r="D64" s="11">
        <f>3600*D7*D17*D11*D21</f>
        <v>910.62971999999991</v>
      </c>
      <c r="E64" s="12" t="s">
        <v>6</v>
      </c>
      <c r="F64" s="3"/>
    </row>
    <row r="65" spans="2:6" ht="12.5" x14ac:dyDescent="0.25">
      <c r="B65" s="20" t="s">
        <v>48</v>
      </c>
      <c r="C65" s="27" t="s">
        <v>49</v>
      </c>
      <c r="D65" s="22">
        <f>D5/(3600*D7)</f>
        <v>3.968253968253968E-2</v>
      </c>
      <c r="E65" s="10" t="s">
        <v>50</v>
      </c>
      <c r="F65" s="1"/>
    </row>
    <row r="66" spans="2:6" ht="12.5" x14ac:dyDescent="0.25">
      <c r="B66" s="20" t="s">
        <v>51</v>
      </c>
      <c r="C66" s="27" t="s">
        <v>52</v>
      </c>
      <c r="D66" s="22">
        <f>1000*D7*D65/D11</f>
        <v>20.202020202020201</v>
      </c>
      <c r="E66" s="10" t="s">
        <v>20</v>
      </c>
      <c r="F66" s="1"/>
    </row>
    <row r="67" spans="2:6" ht="12.5" x14ac:dyDescent="0.25">
      <c r="B67" s="20" t="s">
        <v>53</v>
      </c>
      <c r="C67" s="27" t="s">
        <v>54</v>
      </c>
      <c r="D67" s="22">
        <f>D24*D18*D46*(D25+D26+(2*D27+D66)*COS(RADIANS(D20)))</f>
        <v>1690.0692343460635</v>
      </c>
      <c r="E67" s="10" t="s">
        <v>31</v>
      </c>
      <c r="F67" s="1"/>
    </row>
    <row r="68" spans="2:6" ht="12.5" x14ac:dyDescent="0.25">
      <c r="B68" s="20" t="s">
        <v>55</v>
      </c>
      <c r="C68" s="27" t="s">
        <v>56</v>
      </c>
      <c r="D68" s="22">
        <f>D66*D19*D46</f>
        <v>4756.363636363636</v>
      </c>
      <c r="E68" s="10" t="s">
        <v>31</v>
      </c>
      <c r="F68" s="1"/>
    </row>
    <row r="69" spans="2:6" ht="12.5" x14ac:dyDescent="0.25">
      <c r="B69" s="20" t="s">
        <v>57</v>
      </c>
      <c r="C69" s="27" t="s">
        <v>58</v>
      </c>
      <c r="D69" s="22">
        <f>IF(D11&gt;D12, (D11^2 - D12^2)/(2*D46*D28), 0)</f>
        <v>0.64241420319401965</v>
      </c>
      <c r="E69" s="10" t="s">
        <v>13</v>
      </c>
      <c r="F69" s="1"/>
    </row>
    <row r="70" spans="2:6" ht="12.5" x14ac:dyDescent="0.25">
      <c r="B70" s="20" t="s">
        <v>59</v>
      </c>
      <c r="C70" s="27" t="s">
        <v>60</v>
      </c>
      <c r="D70" s="22">
        <f>1000*D65*D7*(D11-D12)</f>
        <v>152.77777777777777</v>
      </c>
      <c r="E70" s="10" t="s">
        <v>31</v>
      </c>
      <c r="F70" s="1"/>
    </row>
    <row r="71" spans="2:6" ht="12.5" x14ac:dyDescent="0.25">
      <c r="B71" s="20" t="s">
        <v>61</v>
      </c>
      <c r="C71" s="27" t="s">
        <v>62</v>
      </c>
      <c r="D71" s="22">
        <f>IF(D11&gt;D12, (D29*(D65^2)*1000*D7*D46*D69)/((((D11+D12)/2)^2)*(D30^2)), 0)</f>
        <v>8.9983083180362087</v>
      </c>
      <c r="E71" s="10" t="s">
        <v>31</v>
      </c>
      <c r="F71" s="1"/>
    </row>
    <row r="72" spans="2:6" ht="12.5" x14ac:dyDescent="0.25">
      <c r="B72" s="20" t="s">
        <v>63</v>
      </c>
      <c r="C72" s="27" t="s">
        <v>64</v>
      </c>
      <c r="D72" s="22">
        <f>9*D16*(140+0.01*(D36/D16))*(D32/D33)</f>
        <v>58.95</v>
      </c>
      <c r="E72" s="10" t="s">
        <v>31</v>
      </c>
      <c r="F72" s="1"/>
    </row>
    <row r="73" spans="2:6" ht="12.5" x14ac:dyDescent="0.25">
      <c r="B73" s="20" t="s">
        <v>65</v>
      </c>
      <c r="C73" s="27" t="s">
        <v>66</v>
      </c>
      <c r="D73" s="22">
        <f>0.005*(D34/D33)*D35</f>
        <v>16.666666666666671</v>
      </c>
      <c r="E73" s="10" t="s">
        <v>31</v>
      </c>
      <c r="F73" s="1"/>
    </row>
    <row r="74" spans="2:6" ht="12.5" x14ac:dyDescent="0.25">
      <c r="B74" s="20" t="s">
        <v>67</v>
      </c>
      <c r="C74" s="27" t="s">
        <v>68</v>
      </c>
      <c r="D74" s="22">
        <f>D70+D71+D72+D73</f>
        <v>237.39275276248065</v>
      </c>
      <c r="E74" s="10" t="s">
        <v>31</v>
      </c>
      <c r="F74" s="1"/>
    </row>
    <row r="75" spans="2:6" ht="12.5" x14ac:dyDescent="0.25">
      <c r="B75" s="20" t="s">
        <v>69</v>
      </c>
      <c r="C75" s="27" t="s">
        <v>70</v>
      </c>
      <c r="D75" s="22">
        <f>D46*D37*D38*D39*(D27+D66)*COS(RADIANS(D20))*SIN(RADIANS(D40))</f>
        <v>42.361152410077871</v>
      </c>
      <c r="E75" s="10" t="s">
        <v>31</v>
      </c>
      <c r="F75" s="1"/>
    </row>
    <row r="76" spans="2:6" ht="12.5" x14ac:dyDescent="0.25">
      <c r="B76" s="20" t="s">
        <v>71</v>
      </c>
      <c r="C76" s="27" t="s">
        <v>72</v>
      </c>
      <c r="D76" s="22">
        <f>IF(D30&gt;0, (D29*(D65^2)*1000*D7*D46*D31)/((D11^2)*(D30^2)), 0)</f>
        <v>7.0035097864411409</v>
      </c>
      <c r="E76" s="10" t="s">
        <v>31</v>
      </c>
      <c r="F76" s="1"/>
    </row>
    <row r="77" spans="2:6" ht="12.5" x14ac:dyDescent="0.25">
      <c r="B77" s="20" t="s">
        <v>73</v>
      </c>
      <c r="C77" s="27" t="s">
        <v>74</v>
      </c>
      <c r="D77" s="22">
        <f>D41*D42*D43</f>
        <v>27.580800000000004</v>
      </c>
      <c r="E77" s="10" t="s">
        <v>31</v>
      </c>
      <c r="F77" s="1"/>
    </row>
    <row r="78" spans="2:6" ht="12.5" x14ac:dyDescent="0.25">
      <c r="B78" s="20" t="s">
        <v>75</v>
      </c>
      <c r="C78" s="27" t="s">
        <v>76</v>
      </c>
      <c r="D78" s="22">
        <f>D16*D44</f>
        <v>1200</v>
      </c>
      <c r="E78" s="10" t="s">
        <v>31</v>
      </c>
      <c r="F78" s="1"/>
    </row>
    <row r="79" spans="2:6" ht="12.5" x14ac:dyDescent="0.25">
      <c r="B79" s="20" t="s">
        <v>77</v>
      </c>
      <c r="C79" s="27" t="s">
        <v>78</v>
      </c>
      <c r="D79" s="22">
        <f>D75+D76+D77+D78</f>
        <v>1276.945462196519</v>
      </c>
      <c r="E79" s="10" t="s">
        <v>31</v>
      </c>
      <c r="F79" s="1"/>
    </row>
    <row r="80" spans="2:6" ht="12.5" x14ac:dyDescent="0.25">
      <c r="B80" s="20" t="s">
        <v>79</v>
      </c>
      <c r="C80" s="27" t="s">
        <v>80</v>
      </c>
      <c r="D80" s="22">
        <f>(60*D11)/(PI()*D33)</f>
        <v>87.535218700542444</v>
      </c>
      <c r="E80" s="10" t="s">
        <v>31</v>
      </c>
      <c r="F80" s="1"/>
    </row>
    <row r="81" spans="2:6" ht="12.5" x14ac:dyDescent="0.25">
      <c r="B81" s="20" t="s">
        <v>81</v>
      </c>
      <c r="C81" s="27" t="s">
        <v>82</v>
      </c>
      <c r="D81" s="22">
        <f t="shared" ref="D81" si="0">D73</f>
        <v>16.666666666666671</v>
      </c>
      <c r="E81" s="10" t="s">
        <v>31</v>
      </c>
      <c r="F81" s="1"/>
    </row>
    <row r="82" spans="2:6" ht="12.5" x14ac:dyDescent="0.25">
      <c r="B82" s="20" t="s">
        <v>83</v>
      </c>
      <c r="C82" s="27" t="s">
        <v>84</v>
      </c>
      <c r="D82" s="22">
        <f>D67+D68+D74+D79</f>
        <v>7960.771085668699</v>
      </c>
      <c r="E82" s="10" t="s">
        <v>31</v>
      </c>
      <c r="F82" s="1"/>
    </row>
    <row r="83" spans="2:6" ht="12.5" x14ac:dyDescent="0.25">
      <c r="B83" s="20" t="s">
        <v>85</v>
      </c>
      <c r="C83" s="27" t="s">
        <v>86</v>
      </c>
      <c r="D83" s="22">
        <f>D82*D11/1000</f>
        <v>21.892120485588922</v>
      </c>
      <c r="E83" s="10" t="s">
        <v>87</v>
      </c>
      <c r="F83" s="1"/>
    </row>
    <row r="84" spans="2:6" ht="12.5" x14ac:dyDescent="0.25">
      <c r="B84" s="20" t="s">
        <v>88</v>
      </c>
      <c r="C84" s="27" t="s">
        <v>89</v>
      </c>
      <c r="D84" s="22">
        <f>D83 + ((D80+D81)*D11/1000)</f>
        <v>22.178675670348746</v>
      </c>
      <c r="E84" s="10" t="s">
        <v>87</v>
      </c>
      <c r="F84" s="1"/>
    </row>
    <row r="85" spans="2:6" ht="12.5" x14ac:dyDescent="0.25">
      <c r="B85" s="20" t="s">
        <v>587</v>
      </c>
      <c r="C85" s="27" t="s">
        <v>90</v>
      </c>
      <c r="D85" s="22">
        <f>(D84/D45)*1.2</f>
        <v>28.313202983423931</v>
      </c>
      <c r="E85" s="10" t="s">
        <v>87</v>
      </c>
      <c r="F85" s="1"/>
    </row>
    <row r="86" spans="2:6" ht="12.5" x14ac:dyDescent="0.25">
      <c r="B86" s="20" t="s">
        <v>592</v>
      </c>
      <c r="C86" s="27" t="s">
        <v>593</v>
      </c>
      <c r="D86" s="22">
        <f>D85*D23</f>
        <v>45.301124773478293</v>
      </c>
      <c r="E86" s="10" t="s">
        <v>87</v>
      </c>
      <c r="F86" s="1"/>
    </row>
    <row r="87" spans="2:6" ht="12.5" x14ac:dyDescent="0.25">
      <c r="B87" s="20" t="s">
        <v>595</v>
      </c>
      <c r="C87" s="27" t="s">
        <v>596</v>
      </c>
      <c r="D87" s="22">
        <f>(60*D11)/(3.14*D34)</f>
        <v>525.47770700636931</v>
      </c>
      <c r="E87" s="10" t="s">
        <v>597</v>
      </c>
      <c r="F87" s="1"/>
    </row>
    <row r="88" spans="2:6" ht="12.5" x14ac:dyDescent="0.25">
      <c r="B88" s="20" t="s">
        <v>594</v>
      </c>
      <c r="C88" s="27" t="s">
        <v>598</v>
      </c>
      <c r="D88" s="22">
        <f>(9550*D86)/D87</f>
        <v>823.2998961104812</v>
      </c>
      <c r="E88" s="10" t="s">
        <v>597</v>
      </c>
      <c r="F88" s="1"/>
    </row>
    <row r="89" spans="2:6" ht="12.5" x14ac:dyDescent="0.25">
      <c r="B89" s="21" t="s">
        <v>644</v>
      </c>
      <c r="C89" s="29" t="s">
        <v>599</v>
      </c>
      <c r="D89" s="23">
        <f>(9550*D86)/1500</f>
        <v>288.41716105781182</v>
      </c>
      <c r="E89" s="13" t="s">
        <v>597</v>
      </c>
      <c r="F89" s="1"/>
    </row>
    <row r="90" spans="2:6" ht="12.5" x14ac:dyDescent="0.25">
      <c r="B90" s="1"/>
      <c r="C90" s="1"/>
      <c r="D90" s="2"/>
      <c r="E90" s="1"/>
      <c r="F90" s="1"/>
    </row>
    <row r="91" spans="2:6" ht="12.5" x14ac:dyDescent="0.25">
      <c r="B91" s="1"/>
      <c r="C91" s="1"/>
      <c r="D91" s="2"/>
      <c r="E91" s="1"/>
      <c r="F91" s="1"/>
    </row>
    <row r="92" spans="2:6" ht="12.5" x14ac:dyDescent="0.25">
      <c r="B92" s="1"/>
      <c r="C92" s="1"/>
      <c r="D92" s="2"/>
      <c r="E92" s="1"/>
      <c r="F92" s="1"/>
    </row>
    <row r="93" spans="2:6" ht="12.5" x14ac:dyDescent="0.25">
      <c r="B93" s="1"/>
      <c r="C93" s="1"/>
      <c r="D93" s="2"/>
      <c r="E93" s="1"/>
      <c r="F93" s="1"/>
    </row>
    <row r="94" spans="2:6" ht="12.5" x14ac:dyDescent="0.25">
      <c r="B94" s="1"/>
      <c r="C94" s="1"/>
      <c r="D94" s="2"/>
      <c r="E94" s="1"/>
      <c r="F94" s="1"/>
    </row>
    <row r="95" spans="2:6" ht="12.5" x14ac:dyDescent="0.25">
      <c r="B95" s="1"/>
      <c r="C95" s="1"/>
      <c r="D95" s="2"/>
      <c r="E95" s="1"/>
      <c r="F95" s="1"/>
    </row>
    <row r="96" spans="2:6" ht="12.5" x14ac:dyDescent="0.25">
      <c r="B96" s="1"/>
      <c r="C96" s="1"/>
      <c r="D96" s="2"/>
      <c r="E96" s="1"/>
      <c r="F96" s="1"/>
    </row>
    <row r="97" spans="2:6" ht="13" x14ac:dyDescent="0.3">
      <c r="B97" s="66" t="s">
        <v>611</v>
      </c>
      <c r="C97" s="67"/>
      <c r="D97" s="67"/>
      <c r="E97" s="68"/>
      <c r="F97" s="1"/>
    </row>
    <row r="98" spans="2:6" ht="12.5" x14ac:dyDescent="0.25">
      <c r="B98" s="31" t="s">
        <v>600</v>
      </c>
      <c r="C98" s="32" t="s">
        <v>14</v>
      </c>
      <c r="D98" s="34">
        <v>1200</v>
      </c>
      <c r="E98" s="35" t="s">
        <v>548</v>
      </c>
    </row>
    <row r="99" spans="2:6" ht="12.5" x14ac:dyDescent="0.25">
      <c r="B99" s="31" t="s">
        <v>601</v>
      </c>
      <c r="C99" s="33" t="s">
        <v>602</v>
      </c>
      <c r="D99" s="34">
        <f>D49+D50</f>
        <v>135.57732768799278</v>
      </c>
      <c r="E99" s="35" t="s">
        <v>31</v>
      </c>
    </row>
    <row r="100" spans="2:6" ht="12.5" x14ac:dyDescent="0.25">
      <c r="B100" s="31" t="s">
        <v>603</v>
      </c>
      <c r="C100" s="33" t="s">
        <v>604</v>
      </c>
      <c r="D100" s="34">
        <f>D99*D98/4</f>
        <v>40673.198306397833</v>
      </c>
      <c r="E100" s="35" t="s">
        <v>605</v>
      </c>
    </row>
    <row r="101" spans="2:6" ht="12.5" x14ac:dyDescent="0.25">
      <c r="B101" s="36" t="s">
        <v>606</v>
      </c>
      <c r="C101" s="40" t="s">
        <v>607</v>
      </c>
      <c r="D101" s="34">
        <f>SQRT((2*D100)^2+(1.5*(D89*1000))^2)</f>
        <v>440207.07459710789</v>
      </c>
      <c r="E101" s="35" t="s">
        <v>605</v>
      </c>
    </row>
    <row r="102" spans="2:6" ht="12.5" x14ac:dyDescent="0.25">
      <c r="B102" s="36" t="s">
        <v>608</v>
      </c>
      <c r="C102" s="40" t="s">
        <v>609</v>
      </c>
      <c r="D102" s="34">
        <v>40</v>
      </c>
      <c r="E102" s="35" t="s">
        <v>610</v>
      </c>
    </row>
    <row r="103" spans="2:6" ht="12.5" x14ac:dyDescent="0.25">
      <c r="B103" s="37" t="s">
        <v>611</v>
      </c>
      <c r="C103" s="41" t="s">
        <v>29</v>
      </c>
      <c r="D103" s="38">
        <f>((16*D101)/(PI()*D102))^(1/3)</f>
        <v>38.269757665350681</v>
      </c>
      <c r="E103" s="39" t="s">
        <v>548</v>
      </c>
    </row>
    <row r="104" spans="2:6" ht="12.5" x14ac:dyDescent="0.25">
      <c r="B104" s="1"/>
      <c r="C104" s="1"/>
    </row>
    <row r="105" spans="2:6" ht="12.5" x14ac:dyDescent="0.25">
      <c r="B105" s="1"/>
      <c r="C105" s="1"/>
    </row>
    <row r="106" spans="2:6" ht="12.5" x14ac:dyDescent="0.25">
      <c r="B106" s="1"/>
      <c r="C106" s="1"/>
    </row>
    <row r="107" spans="2:6" ht="12.5" x14ac:dyDescent="0.25">
      <c r="B107" s="1"/>
      <c r="C107" s="1"/>
    </row>
    <row r="108" spans="2:6" ht="12.5" x14ac:dyDescent="0.25">
      <c r="B108" s="1"/>
      <c r="C108" s="1"/>
    </row>
    <row r="109" spans="2:6" ht="12.5" x14ac:dyDescent="0.25">
      <c r="B109" s="1"/>
      <c r="C109" s="1"/>
    </row>
    <row r="110" spans="2:6" ht="12.5" x14ac:dyDescent="0.25">
      <c r="B110" s="1"/>
      <c r="C110" s="1"/>
    </row>
    <row r="111" spans="2:6" ht="12.5" x14ac:dyDescent="0.25">
      <c r="B111" s="1"/>
      <c r="C111" s="1"/>
    </row>
    <row r="112" spans="2:6" ht="12.5" x14ac:dyDescent="0.25">
      <c r="B112" s="1"/>
      <c r="C112" s="1"/>
    </row>
    <row r="113" spans="2:11" ht="12.5" x14ac:dyDescent="0.25">
      <c r="B113" s="1"/>
      <c r="C113" s="1"/>
    </row>
    <row r="114" spans="2:11" ht="12.5" x14ac:dyDescent="0.25">
      <c r="B114" s="1"/>
      <c r="C114" s="1"/>
    </row>
    <row r="115" spans="2:11" ht="12.5" x14ac:dyDescent="0.25">
      <c r="B115" s="1"/>
    </row>
    <row r="116" spans="2:11" ht="12.5" x14ac:dyDescent="0.25">
      <c r="B116" s="64" t="s">
        <v>91</v>
      </c>
      <c r="C116" s="65"/>
      <c r="F116" s="69" t="s">
        <v>620</v>
      </c>
      <c r="G116" s="69"/>
      <c r="J116" s="69" t="s">
        <v>626</v>
      </c>
      <c r="K116" s="69"/>
    </row>
    <row r="117" spans="2:11" ht="13" x14ac:dyDescent="0.3">
      <c r="B117" s="24" t="s">
        <v>92</v>
      </c>
      <c r="C117" s="25" t="s">
        <v>586</v>
      </c>
      <c r="F117" t="s">
        <v>93</v>
      </c>
      <c r="G117" t="s">
        <v>621</v>
      </c>
      <c r="J117" t="s">
        <v>627</v>
      </c>
      <c r="K117" s="57">
        <v>1</v>
      </c>
    </row>
    <row r="118" spans="2:11" ht="12.5" x14ac:dyDescent="0.25">
      <c r="B118" s="42">
        <v>2</v>
      </c>
      <c r="C118" s="10">
        <v>1</v>
      </c>
      <c r="F118" t="s">
        <v>622</v>
      </c>
      <c r="G118" s="57">
        <v>0</v>
      </c>
      <c r="J118" t="s">
        <v>628</v>
      </c>
      <c r="K118" s="57">
        <v>2</v>
      </c>
    </row>
    <row r="119" spans="2:11" ht="12.5" x14ac:dyDescent="0.25">
      <c r="B119" s="43">
        <v>4</v>
      </c>
      <c r="C119" s="10">
        <v>0.99</v>
      </c>
      <c r="F119" t="s">
        <v>623</v>
      </c>
      <c r="G119" s="57">
        <v>1</v>
      </c>
      <c r="J119" t="s">
        <v>629</v>
      </c>
      <c r="K119" s="57">
        <v>3</v>
      </c>
    </row>
    <row r="120" spans="2:11" ht="12.5" x14ac:dyDescent="0.25">
      <c r="B120" s="43">
        <v>6</v>
      </c>
      <c r="C120" s="10">
        <v>0.98</v>
      </c>
      <c r="F120" t="s">
        <v>624</v>
      </c>
      <c r="G120" s="57">
        <v>2</v>
      </c>
      <c r="J120" t="s">
        <v>630</v>
      </c>
      <c r="K120" s="57">
        <v>4</v>
      </c>
    </row>
    <row r="121" spans="2:11" ht="12.5" x14ac:dyDescent="0.25">
      <c r="B121" s="43">
        <v>8</v>
      </c>
      <c r="C121" s="10">
        <v>0.97</v>
      </c>
      <c r="F121" t="s">
        <v>625</v>
      </c>
      <c r="G121" s="57">
        <v>3</v>
      </c>
    </row>
    <row r="122" spans="2:11" ht="12.5" x14ac:dyDescent="0.25">
      <c r="B122" s="43">
        <v>10</v>
      </c>
      <c r="C122" s="10">
        <v>0.95</v>
      </c>
    </row>
    <row r="123" spans="2:11" ht="12.5" x14ac:dyDescent="0.25">
      <c r="B123" s="43">
        <v>12</v>
      </c>
      <c r="C123" s="10">
        <v>0.93</v>
      </c>
    </row>
    <row r="124" spans="2:11" ht="12.5" x14ac:dyDescent="0.25">
      <c r="B124" s="43">
        <v>14</v>
      </c>
      <c r="C124" s="10">
        <v>0.91</v>
      </c>
    </row>
    <row r="125" spans="2:11" ht="12.5" x14ac:dyDescent="0.25">
      <c r="B125" s="43">
        <v>16</v>
      </c>
      <c r="C125" s="10">
        <v>0.89</v>
      </c>
    </row>
    <row r="126" spans="2:11" ht="12.5" x14ac:dyDescent="0.25">
      <c r="B126" s="43">
        <v>18</v>
      </c>
      <c r="C126" s="10">
        <v>0.85</v>
      </c>
    </row>
    <row r="127" spans="2:11" ht="12.5" x14ac:dyDescent="0.25">
      <c r="B127" s="44">
        <v>20</v>
      </c>
      <c r="C127" s="13">
        <v>0.81</v>
      </c>
    </row>
    <row r="128" spans="2:11" ht="12.5" x14ac:dyDescent="0.25">
      <c r="B128" s="1"/>
    </row>
    <row r="129" spans="2:19" ht="12.5" x14ac:dyDescent="0.25">
      <c r="B129" s="1"/>
    </row>
    <row r="130" spans="2:19" ht="12.5" x14ac:dyDescent="0.25">
      <c r="B130" s="1"/>
      <c r="C130" s="1"/>
      <c r="D130" s="1"/>
      <c r="E130" s="1"/>
      <c r="F130" t="s">
        <v>559</v>
      </c>
      <c r="G130">
        <v>500</v>
      </c>
      <c r="H130">
        <v>650</v>
      </c>
      <c r="I130">
        <v>800</v>
      </c>
      <c r="J130">
        <v>1000</v>
      </c>
      <c r="K130">
        <v>1200</v>
      </c>
      <c r="L130">
        <v>1400</v>
      </c>
      <c r="M130">
        <v>1600</v>
      </c>
      <c r="N130">
        <v>1800</v>
      </c>
      <c r="O130">
        <v>2000</v>
      </c>
      <c r="P130">
        <v>2200</v>
      </c>
      <c r="Q130">
        <v>2400</v>
      </c>
      <c r="R130">
        <v>2600</v>
      </c>
      <c r="S130">
        <v>2800</v>
      </c>
    </row>
    <row r="131" spans="2:19" ht="12.5" x14ac:dyDescent="0.25">
      <c r="B131" s="1"/>
      <c r="C131" s="1"/>
      <c r="D131" s="1"/>
      <c r="E131" s="1"/>
      <c r="F131" s="1" t="s">
        <v>631</v>
      </c>
    </row>
    <row r="132" spans="2:19" ht="12.5" x14ac:dyDescent="0.25">
      <c r="B132" s="1"/>
      <c r="C132" s="1"/>
      <c r="D132" s="1"/>
      <c r="E132" s="1"/>
      <c r="F132" s="1">
        <v>1</v>
      </c>
      <c r="G132">
        <v>2.5</v>
      </c>
      <c r="H132">
        <v>3</v>
      </c>
      <c r="I132" s="1">
        <v>3.5</v>
      </c>
      <c r="J132" s="1">
        <v>4</v>
      </c>
      <c r="K132" s="1">
        <v>4.5</v>
      </c>
      <c r="L132" s="1">
        <v>4.5</v>
      </c>
      <c r="M132" s="1">
        <v>4.5</v>
      </c>
      <c r="N132" s="1">
        <v>4.5</v>
      </c>
      <c r="O132" s="1">
        <v>4.5</v>
      </c>
      <c r="P132" s="1">
        <v>4.5</v>
      </c>
      <c r="Q132" s="1">
        <v>4.5</v>
      </c>
      <c r="R132" s="1">
        <v>4.5</v>
      </c>
      <c r="S132" s="1">
        <v>4.5</v>
      </c>
    </row>
    <row r="133" spans="2:19" ht="12.5" x14ac:dyDescent="0.25">
      <c r="B133" s="1"/>
      <c r="C133" s="1"/>
      <c r="D133" s="1"/>
      <c r="E133" s="1"/>
      <c r="F133" s="1">
        <v>2</v>
      </c>
      <c r="G133">
        <v>2.2999999999999998</v>
      </c>
      <c r="H133">
        <v>2.75</v>
      </c>
      <c r="I133" s="1">
        <v>3.2</v>
      </c>
      <c r="J133" s="1">
        <v>3.65</v>
      </c>
      <c r="K133" s="1">
        <v>4.12</v>
      </c>
      <c r="L133" s="1">
        <v>4.12</v>
      </c>
      <c r="M133" s="1">
        <v>4.12</v>
      </c>
      <c r="N133" s="1">
        <v>4.12</v>
      </c>
      <c r="O133" s="1">
        <v>4.12</v>
      </c>
      <c r="P133" s="1">
        <v>4.12</v>
      </c>
      <c r="Q133" s="1">
        <v>4.12</v>
      </c>
      <c r="R133" s="1">
        <v>4.12</v>
      </c>
      <c r="S133" s="1">
        <v>4.12</v>
      </c>
    </row>
    <row r="134" spans="2:19" ht="12.5" x14ac:dyDescent="0.25">
      <c r="B134" s="1"/>
      <c r="C134" s="1"/>
      <c r="D134" s="1"/>
      <c r="E134" s="1"/>
      <c r="F134" s="1">
        <v>3</v>
      </c>
      <c r="G134">
        <v>2</v>
      </c>
      <c r="H134">
        <v>2.38</v>
      </c>
      <c r="I134" s="1">
        <v>2.75</v>
      </c>
      <c r="J134" s="1">
        <v>3.15</v>
      </c>
      <c r="K134" s="1">
        <v>3.55</v>
      </c>
      <c r="L134" s="1">
        <v>3.55</v>
      </c>
      <c r="M134" s="1">
        <v>3.55</v>
      </c>
      <c r="N134" s="1">
        <v>3.55</v>
      </c>
      <c r="O134" s="1">
        <v>3.55</v>
      </c>
      <c r="P134" s="1">
        <v>3.55</v>
      </c>
      <c r="Q134" s="1">
        <v>3.55</v>
      </c>
      <c r="R134" s="1">
        <v>3.55</v>
      </c>
      <c r="S134" s="1">
        <v>3.55</v>
      </c>
    </row>
    <row r="135" spans="2:19" ht="12.5" x14ac:dyDescent="0.25">
      <c r="B135" s="1"/>
      <c r="C135" s="1"/>
      <c r="D135" s="1"/>
      <c r="E135" s="1"/>
      <c r="F135" s="1">
        <v>4</v>
      </c>
      <c r="G135">
        <v>2</v>
      </c>
      <c r="H135">
        <v>2.38</v>
      </c>
      <c r="I135" s="1">
        <v>2.75</v>
      </c>
      <c r="J135" s="1">
        <v>3.15</v>
      </c>
      <c r="K135" s="1">
        <v>3.55</v>
      </c>
      <c r="L135" s="1">
        <v>3.55</v>
      </c>
      <c r="M135" s="1">
        <v>3.55</v>
      </c>
      <c r="N135" s="1">
        <v>3.55</v>
      </c>
      <c r="O135" s="1">
        <v>3.55</v>
      </c>
      <c r="P135" s="1">
        <v>3.55</v>
      </c>
      <c r="Q135" s="1">
        <v>3.55</v>
      </c>
      <c r="R135" s="1">
        <v>3.55</v>
      </c>
      <c r="S135" s="1">
        <v>3.55</v>
      </c>
    </row>
    <row r="136" spans="2:19" ht="12.5" x14ac:dyDescent="0.25">
      <c r="B136" s="1"/>
      <c r="F136" s="1">
        <v>5</v>
      </c>
      <c r="G136">
        <v>1.65</v>
      </c>
      <c r="H136">
        <v>2</v>
      </c>
      <c r="I136" s="1">
        <v>2.35</v>
      </c>
      <c r="J136" s="1">
        <v>2.65</v>
      </c>
      <c r="K136" s="1">
        <v>3</v>
      </c>
      <c r="L136" s="1">
        <v>3</v>
      </c>
      <c r="M136" s="1">
        <v>3</v>
      </c>
      <c r="N136" s="1">
        <v>3</v>
      </c>
      <c r="O136" s="1">
        <v>3</v>
      </c>
      <c r="P136" s="1">
        <v>3</v>
      </c>
      <c r="Q136" s="1">
        <v>3</v>
      </c>
      <c r="R136" s="1">
        <v>3</v>
      </c>
      <c r="S136" s="1">
        <v>3</v>
      </c>
    </row>
    <row r="137" spans="2:19" ht="12.5" x14ac:dyDescent="0.25">
      <c r="B137" s="1"/>
      <c r="F137" s="1">
        <v>6</v>
      </c>
      <c r="G137">
        <v>1.65</v>
      </c>
      <c r="H137">
        <v>2</v>
      </c>
      <c r="I137" s="1">
        <v>2.35</v>
      </c>
      <c r="J137" s="1">
        <v>2.65</v>
      </c>
      <c r="K137" s="1">
        <v>3</v>
      </c>
      <c r="L137" s="1">
        <v>3</v>
      </c>
      <c r="M137" s="1">
        <v>3</v>
      </c>
      <c r="N137" s="1">
        <v>3</v>
      </c>
      <c r="O137" s="1">
        <v>3</v>
      </c>
      <c r="P137" s="1">
        <v>3</v>
      </c>
      <c r="Q137" s="1">
        <v>3</v>
      </c>
      <c r="R137" s="1">
        <v>3</v>
      </c>
      <c r="S137" s="1">
        <v>3</v>
      </c>
    </row>
    <row r="138" spans="2:19" ht="12.5" x14ac:dyDescent="0.25">
      <c r="B138" s="1"/>
      <c r="F138" s="1">
        <v>7</v>
      </c>
      <c r="G138">
        <v>1.45</v>
      </c>
      <c r="H138">
        <v>1.75</v>
      </c>
      <c r="I138" s="1">
        <v>2.0499999999999998</v>
      </c>
      <c r="J138" s="1">
        <v>2.35</v>
      </c>
      <c r="K138" s="1">
        <v>2.62</v>
      </c>
      <c r="L138" s="1">
        <v>2.62</v>
      </c>
      <c r="M138" s="1">
        <v>2.62</v>
      </c>
      <c r="N138" s="1">
        <v>2.62</v>
      </c>
      <c r="O138" s="1">
        <v>2.62</v>
      </c>
      <c r="P138" s="1">
        <v>2.62</v>
      </c>
      <c r="Q138" s="1">
        <v>2.62</v>
      </c>
      <c r="R138" s="1">
        <v>2.62</v>
      </c>
      <c r="S138" s="1">
        <v>2.62</v>
      </c>
    </row>
    <row r="139" spans="2:19" ht="12.5" x14ac:dyDescent="0.25">
      <c r="B139" s="1"/>
      <c r="C139" s="1"/>
      <c r="F139" s="1">
        <v>8</v>
      </c>
      <c r="G139">
        <v>1.45</v>
      </c>
      <c r="H139">
        <v>1.75</v>
      </c>
      <c r="I139" s="1">
        <v>2.0499999999999998</v>
      </c>
      <c r="J139" s="1">
        <v>2.35</v>
      </c>
      <c r="K139" s="1">
        <v>2.62</v>
      </c>
      <c r="L139" s="1">
        <v>2.62</v>
      </c>
      <c r="M139" s="1">
        <v>2.62</v>
      </c>
      <c r="N139" s="1">
        <v>2.62</v>
      </c>
      <c r="O139" s="1">
        <v>2.62</v>
      </c>
      <c r="P139" s="1">
        <v>2.62</v>
      </c>
      <c r="Q139" s="1">
        <v>2.62</v>
      </c>
      <c r="R139" s="1">
        <v>2.62</v>
      </c>
      <c r="S139" s="1">
        <v>2.62</v>
      </c>
    </row>
    <row r="140" spans="2:19" ht="12.5" x14ac:dyDescent="0.25">
      <c r="B140" s="1"/>
      <c r="C140" s="1"/>
    </row>
    <row r="141" spans="2:19" ht="12.5" x14ac:dyDescent="0.25">
      <c r="B141" s="1"/>
      <c r="C141" s="1"/>
    </row>
    <row r="142" spans="2:19" ht="12.5" x14ac:dyDescent="0.25">
      <c r="B142" s="1"/>
      <c r="C142" s="1"/>
    </row>
    <row r="143" spans="2:19" ht="12.5" x14ac:dyDescent="0.25">
      <c r="B143" s="1"/>
      <c r="C143" s="1"/>
    </row>
    <row r="144" spans="2:19" ht="12.5" x14ac:dyDescent="0.25">
      <c r="B144" s="1"/>
      <c r="C144" s="1"/>
    </row>
    <row r="145" spans="2:3" ht="12.5" x14ac:dyDescent="0.25">
      <c r="B145" s="1"/>
      <c r="C145" s="1"/>
    </row>
    <row r="146" spans="2:3" ht="12.5" x14ac:dyDescent="0.25">
      <c r="B146" s="1"/>
      <c r="C146" s="1"/>
    </row>
    <row r="147" spans="2:3" ht="12.5" x14ac:dyDescent="0.25">
      <c r="B147" s="1"/>
      <c r="C147" s="1"/>
    </row>
    <row r="148" spans="2:3" ht="12.5" x14ac:dyDescent="0.25">
      <c r="B148" s="1"/>
      <c r="C148" s="1"/>
    </row>
    <row r="149" spans="2:3" ht="12.5" x14ac:dyDescent="0.25">
      <c r="B149" s="1"/>
      <c r="C149" s="1"/>
    </row>
  </sheetData>
  <mergeCells count="5">
    <mergeCell ref="B2:E3"/>
    <mergeCell ref="B116:C116"/>
    <mergeCell ref="B97:E97"/>
    <mergeCell ref="F116:G116"/>
    <mergeCell ref="J116:K116"/>
  </mergeCells>
  <phoneticPr fontId="8" type="noConversion"/>
  <dataValidations count="2">
    <dataValidation type="list" allowBlank="1" showInputMessage="1" showErrorMessage="1" sqref="D8" xr:uid="{694FE722-088F-4312-925E-5C2F1206CF40}">
      <formula1>$F$118:$F$121</formula1>
    </dataValidation>
    <dataValidation type="list" allowBlank="1" showInputMessage="1" showErrorMessage="1" sqref="D9" xr:uid="{418CE389-DFCF-4F70-889E-6CD01700A036}">
      <formula1>$J$117:$J$120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0683956-953A-4630-ACA1-744E176AFD82}">
          <x14:formula1>
            <xm:f>'Table 7 - Max Area'!$A$3:$A$54</xm:f>
          </x14:formula1>
          <xm:sqref>D13</xm:sqref>
        </x14:dataValidation>
        <x14:dataValidation type="list" allowBlank="1" showInputMessage="1" showErrorMessage="1" xr:uid="{44A5F14D-DC1D-4018-8851-EE04A30D3338}">
          <x14:formula1>
            <xm:f>'Density - IS8730'!$A$2:$A$455</xm:f>
          </x14:formula1>
          <xm:sqref>D6</xm:sqref>
        </x14:dataValidation>
        <x14:dataValidation type="list" allowBlank="1" showInputMessage="1" showErrorMessage="1" xr:uid="{54272312-3E7A-430F-A447-05E3AB1D79E5}">
          <x14:formula1>
            <xm:f>'Table 7 - Max Area'!$C$2:$H$2</xm:f>
          </x14:formula1>
          <xm:sqref>D14</xm:sqref>
        </x14:dataValidation>
        <x14:dataValidation type="list" allowBlank="1" showInputMessage="1" showErrorMessage="1" xr:uid="{16C1BC68-D939-4C14-9547-F71C41466F3B}">
          <x14:formula1>
            <xm:f>'Table 7 - Max Area'!$B$3:$B$6</xm:f>
          </x14:formula1>
          <xm:sqref>D15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50FC5-D752-40B6-B0D7-7C9C1E780CF7}">
  <dimension ref="A1:B455"/>
  <sheetViews>
    <sheetView zoomScale="101" zoomScaleNormal="70" workbookViewId="0">
      <selection activeCell="F19" sqref="F19"/>
    </sheetView>
  </sheetViews>
  <sheetFormatPr defaultRowHeight="12.5" x14ac:dyDescent="0.25"/>
  <cols>
    <col min="1" max="1" width="41.81640625" customWidth="1"/>
    <col min="2" max="2" width="22.90625" customWidth="1"/>
  </cols>
  <sheetData>
    <row r="1" spans="1:2" s="4" customFormat="1" ht="13" x14ac:dyDescent="0.3">
      <c r="A1" s="7" t="s">
        <v>93</v>
      </c>
      <c r="B1" s="7" t="s">
        <v>547</v>
      </c>
    </row>
    <row r="2" spans="1:2" x14ac:dyDescent="0.25">
      <c r="A2" s="6" t="s">
        <v>94</v>
      </c>
      <c r="B2" s="6">
        <v>0.72</v>
      </c>
    </row>
    <row r="3" spans="1:2" x14ac:dyDescent="0.25">
      <c r="A3" s="6" t="s">
        <v>95</v>
      </c>
      <c r="B3" s="6">
        <v>0.2</v>
      </c>
    </row>
    <row r="4" spans="1:2" x14ac:dyDescent="0.25">
      <c r="A4" s="6" t="s">
        <v>96</v>
      </c>
      <c r="B4" s="6">
        <v>0.27200000000000002</v>
      </c>
    </row>
    <row r="5" spans="1:2" x14ac:dyDescent="0.25">
      <c r="A5" s="6" t="s">
        <v>97</v>
      </c>
      <c r="B5" s="6">
        <v>0.46400000000000002</v>
      </c>
    </row>
    <row r="6" spans="1:2" x14ac:dyDescent="0.25">
      <c r="A6" s="6" t="s">
        <v>98</v>
      </c>
      <c r="B6" s="6">
        <v>0.76</v>
      </c>
    </row>
    <row r="7" spans="1:2" x14ac:dyDescent="0.25">
      <c r="A7" s="6" t="s">
        <v>99</v>
      </c>
      <c r="B7" s="6">
        <v>0.88</v>
      </c>
    </row>
    <row r="8" spans="1:2" x14ac:dyDescent="0.25">
      <c r="A8" s="6" t="s">
        <v>100</v>
      </c>
      <c r="B8" s="6">
        <v>0.76</v>
      </c>
    </row>
    <row r="9" spans="1:2" x14ac:dyDescent="0.25">
      <c r="A9" s="6" t="s">
        <v>101</v>
      </c>
      <c r="B9" s="6">
        <v>0.92</v>
      </c>
    </row>
    <row r="10" spans="1:2" x14ac:dyDescent="0.25">
      <c r="A10" s="6" t="s">
        <v>102</v>
      </c>
      <c r="B10" s="6">
        <v>0.72</v>
      </c>
    </row>
    <row r="11" spans="1:2" x14ac:dyDescent="0.25">
      <c r="A11" s="6" t="s">
        <v>103</v>
      </c>
      <c r="B11" s="6">
        <v>0.17499999999999999</v>
      </c>
    </row>
    <row r="12" spans="1:2" x14ac:dyDescent="0.25">
      <c r="A12" s="6" t="s">
        <v>104</v>
      </c>
      <c r="B12" s="6">
        <v>0.28799999999999998</v>
      </c>
    </row>
    <row r="13" spans="1:2" x14ac:dyDescent="0.25">
      <c r="A13" s="6" t="s">
        <v>105</v>
      </c>
      <c r="B13" s="6">
        <v>1.5</v>
      </c>
    </row>
    <row r="14" spans="1:2" x14ac:dyDescent="0.25">
      <c r="A14" s="6" t="s">
        <v>106</v>
      </c>
      <c r="B14" s="6">
        <v>0.78400000000000003</v>
      </c>
    </row>
    <row r="15" spans="1:2" x14ac:dyDescent="0.25">
      <c r="A15" s="6" t="s">
        <v>107</v>
      </c>
      <c r="B15" s="6">
        <v>0.86</v>
      </c>
    </row>
    <row r="16" spans="1:2" x14ac:dyDescent="0.25">
      <c r="A16" s="6" t="s">
        <v>108</v>
      </c>
      <c r="B16" s="6">
        <v>0.83199999999999996</v>
      </c>
    </row>
    <row r="17" spans="1:2" x14ac:dyDescent="0.25">
      <c r="A17" s="6" t="s">
        <v>109</v>
      </c>
      <c r="B17" s="6">
        <v>0.86</v>
      </c>
    </row>
    <row r="18" spans="1:2" x14ac:dyDescent="0.25">
      <c r="A18" s="6" t="s">
        <v>110</v>
      </c>
      <c r="B18" s="6">
        <v>0.99</v>
      </c>
    </row>
    <row r="19" spans="1:2" x14ac:dyDescent="0.25">
      <c r="A19" s="6" t="s">
        <v>111</v>
      </c>
      <c r="B19" s="6">
        <v>0.82399999999999995</v>
      </c>
    </row>
    <row r="20" spans="1:2" x14ac:dyDescent="0.25">
      <c r="A20" s="6" t="s">
        <v>112</v>
      </c>
      <c r="B20" s="6">
        <v>0.24</v>
      </c>
    </row>
    <row r="21" spans="1:2" x14ac:dyDescent="0.25">
      <c r="A21" s="6" t="s">
        <v>113</v>
      </c>
      <c r="B21" s="6">
        <v>1.76</v>
      </c>
    </row>
    <row r="22" spans="1:2" x14ac:dyDescent="0.25">
      <c r="A22" s="6" t="s">
        <v>114</v>
      </c>
      <c r="B22" s="6">
        <v>0.48</v>
      </c>
    </row>
    <row r="23" spans="1:2" x14ac:dyDescent="0.25">
      <c r="A23" s="6" t="s">
        <v>115</v>
      </c>
      <c r="B23" s="6">
        <v>1.296</v>
      </c>
    </row>
    <row r="24" spans="1:2" x14ac:dyDescent="0.25">
      <c r="A24" s="6" t="s">
        <v>116</v>
      </c>
      <c r="B24" s="6">
        <v>0.36</v>
      </c>
    </row>
    <row r="25" spans="1:2" x14ac:dyDescent="0.25">
      <c r="A25" s="6" t="s">
        <v>117</v>
      </c>
      <c r="B25" s="6">
        <v>1.68</v>
      </c>
    </row>
    <row r="26" spans="1:2" x14ac:dyDescent="0.25">
      <c r="A26" s="6" t="s">
        <v>118</v>
      </c>
      <c r="B26" s="6">
        <v>0.5</v>
      </c>
    </row>
    <row r="27" spans="1:2" x14ac:dyDescent="0.25">
      <c r="A27" s="6" t="s">
        <v>119</v>
      </c>
      <c r="B27" s="6">
        <v>0.6</v>
      </c>
    </row>
    <row r="28" spans="1:2" x14ac:dyDescent="0.25">
      <c r="A28" s="6" t="s">
        <v>120</v>
      </c>
      <c r="B28" s="6">
        <v>0.76</v>
      </c>
    </row>
    <row r="29" spans="1:2" x14ac:dyDescent="0.25">
      <c r="A29" s="6" t="s">
        <v>121</v>
      </c>
      <c r="B29" s="6">
        <v>0.76</v>
      </c>
    </row>
    <row r="30" spans="1:2" x14ac:dyDescent="0.25">
      <c r="A30" s="6" t="s">
        <v>122</v>
      </c>
      <c r="B30" s="6">
        <v>0.68</v>
      </c>
    </row>
    <row r="31" spans="1:2" x14ac:dyDescent="0.25">
      <c r="A31" s="6" t="s">
        <v>123</v>
      </c>
      <c r="B31" s="6">
        <v>1.248</v>
      </c>
    </row>
    <row r="32" spans="1:2" x14ac:dyDescent="0.25">
      <c r="A32" s="6" t="s">
        <v>124</v>
      </c>
      <c r="B32" s="6">
        <v>1.32</v>
      </c>
    </row>
    <row r="33" spans="1:2" x14ac:dyDescent="0.25">
      <c r="A33" s="6" t="s">
        <v>125</v>
      </c>
      <c r="B33" s="6">
        <v>0.72</v>
      </c>
    </row>
    <row r="34" spans="1:2" x14ac:dyDescent="0.25">
      <c r="A34" s="6" t="s">
        <v>126</v>
      </c>
      <c r="B34" s="6">
        <v>0.13600000000000001</v>
      </c>
    </row>
    <row r="35" spans="1:2" x14ac:dyDescent="0.25">
      <c r="A35" s="6" t="s">
        <v>127</v>
      </c>
      <c r="B35" s="6">
        <v>0.56000000000000005</v>
      </c>
    </row>
    <row r="36" spans="1:2" x14ac:dyDescent="0.25">
      <c r="A36" s="6" t="s">
        <v>128</v>
      </c>
      <c r="B36" s="6">
        <v>0.65600000000000003</v>
      </c>
    </row>
    <row r="37" spans="1:2" x14ac:dyDescent="0.25">
      <c r="A37" s="6" t="s">
        <v>129</v>
      </c>
      <c r="B37" s="6">
        <v>2.88</v>
      </c>
    </row>
    <row r="38" spans="1:2" x14ac:dyDescent="0.25">
      <c r="A38" s="6" t="s">
        <v>130</v>
      </c>
      <c r="B38" s="6">
        <v>1.1519999999999999</v>
      </c>
    </row>
    <row r="39" spans="1:2" x14ac:dyDescent="0.25">
      <c r="A39" s="6" t="s">
        <v>131</v>
      </c>
      <c r="B39" s="6">
        <v>0.24</v>
      </c>
    </row>
    <row r="40" spans="1:2" x14ac:dyDescent="0.25">
      <c r="A40" s="6" t="s">
        <v>132</v>
      </c>
      <c r="B40" s="6">
        <v>0.46</v>
      </c>
    </row>
    <row r="41" spans="1:2" x14ac:dyDescent="0.25">
      <c r="A41" s="6" t="s">
        <v>133</v>
      </c>
      <c r="B41" s="6">
        <v>2.08</v>
      </c>
    </row>
    <row r="42" spans="1:2" x14ac:dyDescent="0.25">
      <c r="A42" s="6" t="s">
        <v>134</v>
      </c>
      <c r="B42" s="6">
        <v>2.08</v>
      </c>
    </row>
    <row r="43" spans="1:2" x14ac:dyDescent="0.25">
      <c r="A43" s="6" t="s">
        <v>135</v>
      </c>
      <c r="B43" s="6">
        <v>1.08</v>
      </c>
    </row>
    <row r="44" spans="1:2" x14ac:dyDescent="0.25">
      <c r="A44" s="6" t="s">
        <v>136</v>
      </c>
      <c r="B44" s="6">
        <v>1.36</v>
      </c>
    </row>
    <row r="45" spans="1:2" x14ac:dyDescent="0.25">
      <c r="A45" s="6" t="s">
        <v>137</v>
      </c>
      <c r="B45" s="6">
        <v>1.2749999999999999</v>
      </c>
    </row>
    <row r="46" spans="1:2" x14ac:dyDescent="0.25">
      <c r="A46" s="6" t="s">
        <v>138</v>
      </c>
      <c r="B46" s="6">
        <v>0.57599999999999996</v>
      </c>
    </row>
    <row r="47" spans="1:2" x14ac:dyDescent="0.25">
      <c r="A47" s="6" t="s">
        <v>139</v>
      </c>
      <c r="B47" s="6">
        <v>0.67800000000000005</v>
      </c>
    </row>
    <row r="48" spans="1:2" x14ac:dyDescent="0.25">
      <c r="A48" s="6" t="s">
        <v>140</v>
      </c>
      <c r="B48" s="6">
        <v>0.96</v>
      </c>
    </row>
    <row r="49" spans="1:2" x14ac:dyDescent="0.25">
      <c r="A49" s="6" t="s">
        <v>141</v>
      </c>
      <c r="B49" s="6">
        <v>0.216</v>
      </c>
    </row>
    <row r="50" spans="1:2" x14ac:dyDescent="0.25">
      <c r="A50" s="6" t="s">
        <v>142</v>
      </c>
      <c r="B50" s="6">
        <v>0.56000000000000005</v>
      </c>
    </row>
    <row r="51" spans="1:2" x14ac:dyDescent="0.25">
      <c r="A51" s="6" t="s">
        <v>143</v>
      </c>
      <c r="B51" s="6">
        <v>0.76800000000000002</v>
      </c>
    </row>
    <row r="52" spans="1:2" x14ac:dyDescent="0.25">
      <c r="A52" s="6" t="s">
        <v>144</v>
      </c>
      <c r="B52" s="6">
        <v>0.59199999999999997</v>
      </c>
    </row>
    <row r="53" spans="1:2" x14ac:dyDescent="0.25">
      <c r="A53" s="6" t="s">
        <v>145</v>
      </c>
      <c r="B53" s="6">
        <v>0.88</v>
      </c>
    </row>
    <row r="54" spans="1:2" x14ac:dyDescent="0.25">
      <c r="A54" s="6" t="s">
        <v>146</v>
      </c>
      <c r="B54" s="6">
        <v>0.89600000000000002</v>
      </c>
    </row>
    <row r="55" spans="1:2" x14ac:dyDescent="0.25">
      <c r="A55" s="6" t="s">
        <v>147</v>
      </c>
      <c r="B55" s="6">
        <v>0.65600000000000003</v>
      </c>
    </row>
    <row r="56" spans="1:2" x14ac:dyDescent="0.25">
      <c r="A56" s="6" t="s">
        <v>148</v>
      </c>
      <c r="B56" s="6">
        <v>0.64</v>
      </c>
    </row>
    <row r="57" spans="1:2" x14ac:dyDescent="0.25">
      <c r="A57" s="6" t="s">
        <v>149</v>
      </c>
      <c r="B57" s="6">
        <v>0.60499999999999998</v>
      </c>
    </row>
    <row r="58" spans="1:2" x14ac:dyDescent="0.25">
      <c r="A58" s="6" t="s">
        <v>150</v>
      </c>
      <c r="B58" s="6">
        <v>0.8</v>
      </c>
    </row>
    <row r="59" spans="1:2" x14ac:dyDescent="0.25">
      <c r="A59" s="6" t="s">
        <v>151</v>
      </c>
      <c r="B59" s="6">
        <v>0.59199999999999997</v>
      </c>
    </row>
    <row r="60" spans="1:2" x14ac:dyDescent="0.25">
      <c r="A60" s="6" t="s">
        <v>152</v>
      </c>
      <c r="B60" s="6">
        <v>0.36</v>
      </c>
    </row>
    <row r="61" spans="1:2" x14ac:dyDescent="0.25">
      <c r="A61" s="6" t="s">
        <v>153</v>
      </c>
      <c r="B61" s="6">
        <v>0.53600000000000003</v>
      </c>
    </row>
    <row r="62" spans="1:2" x14ac:dyDescent="0.25">
      <c r="A62" s="6" t="s">
        <v>154</v>
      </c>
      <c r="B62" s="6">
        <v>0.92</v>
      </c>
    </row>
    <row r="63" spans="1:2" x14ac:dyDescent="0.25">
      <c r="A63" s="6" t="s">
        <v>155</v>
      </c>
      <c r="B63" s="6">
        <v>0.96</v>
      </c>
    </row>
    <row r="64" spans="1:2" x14ac:dyDescent="0.25">
      <c r="A64" s="6" t="s">
        <v>156</v>
      </c>
      <c r="B64" s="6">
        <v>1</v>
      </c>
    </row>
    <row r="65" spans="1:2" x14ac:dyDescent="0.25">
      <c r="A65" s="6" t="s">
        <v>157</v>
      </c>
      <c r="B65" s="6">
        <v>0.92</v>
      </c>
    </row>
    <row r="66" spans="1:2" x14ac:dyDescent="0.25">
      <c r="A66" s="6" t="s">
        <v>158</v>
      </c>
      <c r="B66" s="6">
        <v>0.92</v>
      </c>
    </row>
    <row r="67" spans="1:2" x14ac:dyDescent="0.25">
      <c r="A67" s="6" t="s">
        <v>159</v>
      </c>
      <c r="B67" s="6">
        <v>0.85</v>
      </c>
    </row>
    <row r="68" spans="1:2" x14ac:dyDescent="0.25">
      <c r="A68" s="6" t="s">
        <v>160</v>
      </c>
      <c r="B68" s="6">
        <v>0.88</v>
      </c>
    </row>
    <row r="69" spans="1:2" x14ac:dyDescent="0.25">
      <c r="A69" s="6" t="s">
        <v>161</v>
      </c>
      <c r="B69" s="6">
        <v>1.2</v>
      </c>
    </row>
    <row r="70" spans="1:2" x14ac:dyDescent="0.25">
      <c r="A70" s="6" t="s">
        <v>162</v>
      </c>
      <c r="B70" s="6">
        <v>0.28799999999999998</v>
      </c>
    </row>
    <row r="71" spans="1:2" x14ac:dyDescent="0.25">
      <c r="A71" s="6" t="s">
        <v>163</v>
      </c>
      <c r="B71" s="6">
        <v>0.44</v>
      </c>
    </row>
    <row r="72" spans="1:2" x14ac:dyDescent="0.25">
      <c r="A72" s="6" t="s">
        <v>164</v>
      </c>
      <c r="B72" s="6">
        <v>0.92</v>
      </c>
    </row>
    <row r="73" spans="1:2" x14ac:dyDescent="0.25">
      <c r="A73" s="6" t="s">
        <v>165</v>
      </c>
      <c r="B73" s="6">
        <v>2</v>
      </c>
    </row>
    <row r="74" spans="1:2" x14ac:dyDescent="0.25">
      <c r="A74" s="6" t="s">
        <v>166</v>
      </c>
      <c r="B74" s="6">
        <v>1.6</v>
      </c>
    </row>
    <row r="75" spans="1:2" x14ac:dyDescent="0.25">
      <c r="A75" s="6" t="s">
        <v>167</v>
      </c>
      <c r="B75" s="6">
        <v>0.64</v>
      </c>
    </row>
    <row r="76" spans="1:2" x14ac:dyDescent="0.25">
      <c r="A76" s="6" t="s">
        <v>168</v>
      </c>
      <c r="B76" s="6">
        <v>0.65600000000000003</v>
      </c>
    </row>
    <row r="77" spans="1:2" x14ac:dyDescent="0.25">
      <c r="A77" s="6" t="s">
        <v>169</v>
      </c>
      <c r="B77" s="6">
        <v>2</v>
      </c>
    </row>
    <row r="78" spans="1:2" x14ac:dyDescent="0.25">
      <c r="A78" s="6" t="s">
        <v>170</v>
      </c>
      <c r="B78" s="6">
        <v>1.2</v>
      </c>
    </row>
    <row r="79" spans="1:2" x14ac:dyDescent="0.25">
      <c r="A79" s="6" t="s">
        <v>171</v>
      </c>
      <c r="B79" s="6">
        <v>0.44</v>
      </c>
    </row>
    <row r="80" spans="1:2" x14ac:dyDescent="0.25">
      <c r="A80" s="6" t="s">
        <v>172</v>
      </c>
      <c r="B80" s="6">
        <v>0.224</v>
      </c>
    </row>
    <row r="81" spans="1:2" x14ac:dyDescent="0.25">
      <c r="A81" s="6" t="s">
        <v>173</v>
      </c>
      <c r="B81" s="6">
        <v>0.64</v>
      </c>
    </row>
    <row r="82" spans="1:2" x14ac:dyDescent="0.25">
      <c r="A82" s="6" t="s">
        <v>174</v>
      </c>
      <c r="B82" s="6">
        <v>8.7999999999999995E-2</v>
      </c>
    </row>
    <row r="83" spans="1:2" x14ac:dyDescent="0.25">
      <c r="A83" s="6" t="s">
        <v>175</v>
      </c>
      <c r="B83" s="6">
        <v>1.6</v>
      </c>
    </row>
    <row r="84" spans="1:2" x14ac:dyDescent="0.25">
      <c r="A84" s="6" t="s">
        <v>176</v>
      </c>
      <c r="B84" s="6">
        <v>0.57599999999999996</v>
      </c>
    </row>
    <row r="85" spans="1:2" x14ac:dyDescent="0.25">
      <c r="A85" s="6" t="s">
        <v>177</v>
      </c>
      <c r="B85" s="6">
        <v>0.55200000000000005</v>
      </c>
    </row>
    <row r="86" spans="1:2" x14ac:dyDescent="0.25">
      <c r="A86" s="6" t="s">
        <v>178</v>
      </c>
      <c r="B86" s="6">
        <v>2.64</v>
      </c>
    </row>
    <row r="87" spans="1:2" x14ac:dyDescent="0.25">
      <c r="A87" s="6" t="s">
        <v>179</v>
      </c>
      <c r="B87" s="6">
        <v>1.5</v>
      </c>
    </row>
    <row r="88" spans="1:2" x14ac:dyDescent="0.25">
      <c r="A88" s="6" t="s">
        <v>180</v>
      </c>
      <c r="B88" s="6">
        <v>1.08</v>
      </c>
    </row>
    <row r="89" spans="1:2" x14ac:dyDescent="0.25">
      <c r="A89" s="6" t="s">
        <v>181</v>
      </c>
      <c r="B89" s="6">
        <v>1.68</v>
      </c>
    </row>
    <row r="90" spans="1:2" x14ac:dyDescent="0.25">
      <c r="A90" s="6" t="s">
        <v>182</v>
      </c>
      <c r="B90" s="6">
        <v>1.36</v>
      </c>
    </row>
    <row r="91" spans="1:2" x14ac:dyDescent="0.25">
      <c r="A91" s="6" t="s">
        <v>183</v>
      </c>
      <c r="B91" s="6">
        <v>2.1280000000000001</v>
      </c>
    </row>
    <row r="92" spans="1:2" x14ac:dyDescent="0.25">
      <c r="A92" s="6" t="s">
        <v>184</v>
      </c>
      <c r="B92" s="6">
        <v>1.25</v>
      </c>
    </row>
    <row r="93" spans="1:2" x14ac:dyDescent="0.25">
      <c r="A93" s="6" t="s">
        <v>185</v>
      </c>
      <c r="B93" s="6">
        <v>1.1599999999999999</v>
      </c>
    </row>
    <row r="94" spans="1:2" x14ac:dyDescent="0.25">
      <c r="A94" s="6" t="s">
        <v>186</v>
      </c>
      <c r="B94" s="6">
        <v>0.37</v>
      </c>
    </row>
    <row r="95" spans="1:2" x14ac:dyDescent="0.25">
      <c r="A95" s="6" t="s">
        <v>187</v>
      </c>
      <c r="B95" s="6">
        <v>0.36799999999999999</v>
      </c>
    </row>
    <row r="96" spans="1:2" x14ac:dyDescent="0.25">
      <c r="A96" s="6" t="s">
        <v>188</v>
      </c>
      <c r="B96" s="6">
        <v>0.36</v>
      </c>
    </row>
    <row r="97" spans="1:2" x14ac:dyDescent="0.25">
      <c r="A97" s="6" t="s">
        <v>189</v>
      </c>
      <c r="B97" s="6">
        <v>0.33600000000000002</v>
      </c>
    </row>
    <row r="98" spans="1:2" x14ac:dyDescent="0.25">
      <c r="A98" s="6" t="s">
        <v>190</v>
      </c>
      <c r="B98" s="6">
        <v>0.32</v>
      </c>
    </row>
    <row r="99" spans="1:2" x14ac:dyDescent="0.25">
      <c r="A99" s="6" t="s">
        <v>191</v>
      </c>
      <c r="B99" s="6">
        <v>0.68</v>
      </c>
    </row>
    <row r="100" spans="1:2" x14ac:dyDescent="0.25">
      <c r="A100" s="6" t="s">
        <v>192</v>
      </c>
      <c r="B100" s="6">
        <v>2.12</v>
      </c>
    </row>
    <row r="101" spans="1:2" x14ac:dyDescent="0.25">
      <c r="A101" s="6" t="s">
        <v>193</v>
      </c>
      <c r="B101" s="6">
        <v>0.91200000000000003</v>
      </c>
    </row>
    <row r="102" spans="1:2" x14ac:dyDescent="0.25">
      <c r="A102" s="6" t="s">
        <v>194</v>
      </c>
      <c r="B102" s="6">
        <v>0.64</v>
      </c>
    </row>
    <row r="103" spans="1:2" x14ac:dyDescent="0.25">
      <c r="A103" s="6" t="s">
        <v>195</v>
      </c>
      <c r="B103" s="6">
        <v>1.28</v>
      </c>
    </row>
    <row r="104" spans="1:2" x14ac:dyDescent="0.25">
      <c r="A104" s="6" t="s">
        <v>196</v>
      </c>
      <c r="B104" s="6">
        <v>1.76</v>
      </c>
    </row>
    <row r="105" spans="1:2" x14ac:dyDescent="0.25">
      <c r="A105" s="6" t="s">
        <v>197</v>
      </c>
      <c r="B105" s="6">
        <v>1.08</v>
      </c>
    </row>
    <row r="106" spans="1:2" x14ac:dyDescent="0.25">
      <c r="A106" s="6" t="s">
        <v>182</v>
      </c>
      <c r="B106" s="6">
        <v>1.36</v>
      </c>
    </row>
    <row r="107" spans="1:2" x14ac:dyDescent="0.25">
      <c r="A107" s="6" t="s">
        <v>198</v>
      </c>
      <c r="B107" s="6">
        <v>0.76800000000000002</v>
      </c>
    </row>
    <row r="108" spans="1:2" x14ac:dyDescent="0.25">
      <c r="A108" s="6" t="s">
        <v>199</v>
      </c>
      <c r="B108" s="6">
        <v>0.86</v>
      </c>
    </row>
    <row r="109" spans="1:2" x14ac:dyDescent="0.25">
      <c r="A109" s="6" t="s">
        <v>200</v>
      </c>
      <c r="B109" s="6">
        <v>0.96</v>
      </c>
    </row>
    <row r="110" spans="1:2" x14ac:dyDescent="0.25">
      <c r="A110" s="6" t="s">
        <v>201</v>
      </c>
      <c r="B110" s="6">
        <v>0.96</v>
      </c>
    </row>
    <row r="111" spans="1:2" x14ac:dyDescent="0.25">
      <c r="A111" s="6" t="s">
        <v>202</v>
      </c>
      <c r="B111" s="6">
        <v>0.96</v>
      </c>
    </row>
    <row r="112" spans="1:2" x14ac:dyDescent="0.25">
      <c r="A112" s="6" t="s">
        <v>203</v>
      </c>
      <c r="B112" s="6">
        <v>0.96</v>
      </c>
    </row>
    <row r="113" spans="1:2" x14ac:dyDescent="0.25">
      <c r="A113" s="6" t="s">
        <v>204</v>
      </c>
      <c r="B113" s="6">
        <v>0.96</v>
      </c>
    </row>
    <row r="114" spans="1:2" x14ac:dyDescent="0.25">
      <c r="A114" s="6" t="s">
        <v>205</v>
      </c>
      <c r="B114" s="6">
        <v>0.96</v>
      </c>
    </row>
    <row r="115" spans="1:2" x14ac:dyDescent="0.25">
      <c r="A115" s="6" t="s">
        <v>206</v>
      </c>
      <c r="B115" s="6">
        <v>0.38400000000000001</v>
      </c>
    </row>
    <row r="116" spans="1:2" x14ac:dyDescent="0.25">
      <c r="A116" s="6" t="s">
        <v>207</v>
      </c>
      <c r="B116" s="6">
        <v>0.88</v>
      </c>
    </row>
    <row r="117" spans="1:2" x14ac:dyDescent="0.25">
      <c r="A117" s="6" t="s">
        <v>208</v>
      </c>
      <c r="B117" s="6">
        <v>0.53</v>
      </c>
    </row>
    <row r="118" spans="1:2" x14ac:dyDescent="0.25">
      <c r="A118" s="6" t="s">
        <v>209</v>
      </c>
      <c r="B118" s="6">
        <v>0.56000000000000005</v>
      </c>
    </row>
    <row r="119" spans="1:2" x14ac:dyDescent="0.25">
      <c r="A119" s="6" t="s">
        <v>210</v>
      </c>
      <c r="B119" s="6">
        <v>0.52</v>
      </c>
    </row>
    <row r="120" spans="1:2" x14ac:dyDescent="0.25">
      <c r="A120" s="6" t="s">
        <v>211</v>
      </c>
      <c r="B120" s="6">
        <v>0.33600000000000002</v>
      </c>
    </row>
    <row r="121" spans="1:2" x14ac:dyDescent="0.25">
      <c r="A121" s="6" t="s">
        <v>212</v>
      </c>
      <c r="B121" s="6">
        <v>0.32</v>
      </c>
    </row>
    <row r="122" spans="1:2" x14ac:dyDescent="0.25">
      <c r="A122" s="6" t="s">
        <v>213</v>
      </c>
      <c r="B122" s="6">
        <v>0.51200000000000001</v>
      </c>
    </row>
    <row r="123" spans="1:2" x14ac:dyDescent="0.25">
      <c r="A123" s="6" t="s">
        <v>214</v>
      </c>
      <c r="B123" s="6">
        <v>0.4</v>
      </c>
    </row>
    <row r="124" spans="1:2" x14ac:dyDescent="0.25">
      <c r="A124" s="6" t="s">
        <v>215</v>
      </c>
      <c r="B124" s="6">
        <v>0.38400000000000001</v>
      </c>
    </row>
    <row r="125" spans="1:2" x14ac:dyDescent="0.25">
      <c r="A125" s="6" t="s">
        <v>216</v>
      </c>
      <c r="B125" s="6">
        <v>0.30399999999999999</v>
      </c>
    </row>
    <row r="126" spans="1:2" x14ac:dyDescent="0.25">
      <c r="A126" s="6" t="s">
        <v>217</v>
      </c>
      <c r="B126" s="6">
        <v>0.44</v>
      </c>
    </row>
    <row r="127" spans="1:2" x14ac:dyDescent="0.25">
      <c r="A127" s="6" t="s">
        <v>218</v>
      </c>
      <c r="B127" s="6">
        <v>0.64</v>
      </c>
    </row>
    <row r="128" spans="1:2" x14ac:dyDescent="0.25">
      <c r="A128" s="6" t="s">
        <v>219</v>
      </c>
      <c r="B128" s="6">
        <v>0.48</v>
      </c>
    </row>
    <row r="129" spans="1:2" x14ac:dyDescent="0.25">
      <c r="A129" s="6" t="s">
        <v>220</v>
      </c>
      <c r="B129" s="6">
        <v>0.44800000000000001</v>
      </c>
    </row>
    <row r="130" spans="1:2" x14ac:dyDescent="0.25">
      <c r="A130" s="6" t="s">
        <v>221</v>
      </c>
      <c r="B130" s="6">
        <v>1.52</v>
      </c>
    </row>
    <row r="131" spans="1:2" x14ac:dyDescent="0.25">
      <c r="A131" s="6" t="s">
        <v>222</v>
      </c>
      <c r="B131" s="6">
        <v>2.08</v>
      </c>
    </row>
    <row r="132" spans="1:2" x14ac:dyDescent="0.25">
      <c r="A132" s="6" t="s">
        <v>223</v>
      </c>
      <c r="B132" s="6">
        <v>2.08</v>
      </c>
    </row>
    <row r="133" spans="1:2" x14ac:dyDescent="0.25">
      <c r="A133" s="6" t="s">
        <v>224</v>
      </c>
      <c r="B133" s="6">
        <v>2.08</v>
      </c>
    </row>
    <row r="134" spans="1:2" x14ac:dyDescent="0.25">
      <c r="A134" s="6" t="s">
        <v>225</v>
      </c>
      <c r="B134" s="6">
        <v>2.2400000000000002</v>
      </c>
    </row>
    <row r="135" spans="1:2" x14ac:dyDescent="0.25">
      <c r="A135" s="6" t="s">
        <v>226</v>
      </c>
      <c r="B135" s="6">
        <v>2.16</v>
      </c>
    </row>
    <row r="136" spans="1:2" x14ac:dyDescent="0.25">
      <c r="A136" s="6" t="s">
        <v>227</v>
      </c>
      <c r="B136" s="6">
        <v>2</v>
      </c>
    </row>
    <row r="137" spans="1:2" x14ac:dyDescent="0.25">
      <c r="A137" s="6" t="s">
        <v>228</v>
      </c>
      <c r="B137" s="6">
        <v>1.28</v>
      </c>
    </row>
    <row r="138" spans="1:2" x14ac:dyDescent="0.25">
      <c r="A138" s="6" t="s">
        <v>229</v>
      </c>
      <c r="B138" s="6">
        <v>0.35199999999999998</v>
      </c>
    </row>
    <row r="139" spans="1:2" x14ac:dyDescent="0.25">
      <c r="A139" s="6" t="s">
        <v>230</v>
      </c>
      <c r="B139" s="6">
        <v>0.68</v>
      </c>
    </row>
    <row r="140" spans="1:2" x14ac:dyDescent="0.25">
      <c r="A140" s="6" t="s">
        <v>231</v>
      </c>
      <c r="B140" s="6">
        <v>0.44</v>
      </c>
    </row>
    <row r="141" spans="1:2" x14ac:dyDescent="0.25">
      <c r="A141" s="6" t="s">
        <v>232</v>
      </c>
      <c r="B141" s="6">
        <v>0.68</v>
      </c>
    </row>
    <row r="142" spans="1:2" x14ac:dyDescent="0.25">
      <c r="A142" s="6" t="s">
        <v>233</v>
      </c>
      <c r="B142" s="6">
        <v>0.215</v>
      </c>
    </row>
    <row r="143" spans="1:2" x14ac:dyDescent="0.25">
      <c r="A143" s="6" t="s">
        <v>234</v>
      </c>
      <c r="B143" s="6">
        <v>0.216</v>
      </c>
    </row>
    <row r="144" spans="1:2" x14ac:dyDescent="0.25">
      <c r="A144" s="6" t="s">
        <v>235</v>
      </c>
      <c r="B144" s="6">
        <v>0.7</v>
      </c>
    </row>
    <row r="145" spans="1:2" x14ac:dyDescent="0.25">
      <c r="A145" s="6" t="s">
        <v>236</v>
      </c>
      <c r="B145" s="6">
        <v>0.72</v>
      </c>
    </row>
    <row r="146" spans="1:2" x14ac:dyDescent="0.25">
      <c r="A146" s="6" t="s">
        <v>237</v>
      </c>
      <c r="B146" s="6">
        <v>0.89600000000000002</v>
      </c>
    </row>
    <row r="147" spans="1:2" x14ac:dyDescent="0.25">
      <c r="A147" s="6" t="s">
        <v>238</v>
      </c>
      <c r="B147" s="6">
        <v>0.72</v>
      </c>
    </row>
    <row r="148" spans="1:2" x14ac:dyDescent="0.25">
      <c r="A148" s="6" t="s">
        <v>239</v>
      </c>
      <c r="B148" s="6">
        <v>0.5</v>
      </c>
    </row>
    <row r="149" spans="1:2" x14ac:dyDescent="0.25">
      <c r="A149" s="6" t="s">
        <v>240</v>
      </c>
      <c r="B149" s="6">
        <v>0.33600000000000002</v>
      </c>
    </row>
    <row r="150" spans="1:2" x14ac:dyDescent="0.25">
      <c r="A150" s="6" t="s">
        <v>241</v>
      </c>
      <c r="B150" s="6">
        <v>0.68</v>
      </c>
    </row>
    <row r="151" spans="1:2" x14ac:dyDescent="0.25">
      <c r="A151" s="6" t="s">
        <v>242</v>
      </c>
      <c r="B151" s="6">
        <v>0.62</v>
      </c>
    </row>
    <row r="152" spans="1:2" x14ac:dyDescent="0.25">
      <c r="A152" s="6" t="s">
        <v>243</v>
      </c>
      <c r="B152" s="6">
        <v>0.4</v>
      </c>
    </row>
    <row r="153" spans="1:2" x14ac:dyDescent="0.25">
      <c r="A153" s="6" t="s">
        <v>244</v>
      </c>
      <c r="B153" s="6">
        <v>0.34499999999999997</v>
      </c>
    </row>
    <row r="154" spans="1:2" x14ac:dyDescent="0.25">
      <c r="A154" s="6" t="s">
        <v>245</v>
      </c>
      <c r="B154" s="6">
        <v>0.68</v>
      </c>
    </row>
    <row r="155" spans="1:2" x14ac:dyDescent="0.25">
      <c r="A155" s="6" t="s">
        <v>246</v>
      </c>
      <c r="B155" s="6">
        <v>0.36</v>
      </c>
    </row>
    <row r="156" spans="1:2" x14ac:dyDescent="0.25">
      <c r="A156" s="6" t="s">
        <v>247</v>
      </c>
      <c r="B156" s="6">
        <v>0.68</v>
      </c>
    </row>
    <row r="157" spans="1:2" x14ac:dyDescent="0.25">
      <c r="A157" s="6" t="s">
        <v>248</v>
      </c>
      <c r="B157" s="6">
        <v>0.19</v>
      </c>
    </row>
    <row r="158" spans="1:2" x14ac:dyDescent="0.25">
      <c r="A158" s="6" t="s">
        <v>249</v>
      </c>
      <c r="B158" s="6">
        <v>0.6</v>
      </c>
    </row>
    <row r="159" spans="1:2" x14ac:dyDescent="0.25">
      <c r="A159" s="6" t="s">
        <v>250</v>
      </c>
      <c r="B159" s="6">
        <v>0.64</v>
      </c>
    </row>
    <row r="160" spans="1:2" x14ac:dyDescent="0.25">
      <c r="A160" s="6" t="s">
        <v>251</v>
      </c>
      <c r="B160" s="6">
        <v>0.72</v>
      </c>
    </row>
    <row r="161" spans="1:2" x14ac:dyDescent="0.25">
      <c r="A161" s="6" t="s">
        <v>252</v>
      </c>
      <c r="B161" s="6">
        <v>1.3</v>
      </c>
    </row>
    <row r="162" spans="1:2" x14ac:dyDescent="0.25">
      <c r="A162" s="6" t="s">
        <v>253</v>
      </c>
      <c r="B162" s="6">
        <v>1.52</v>
      </c>
    </row>
    <row r="163" spans="1:2" x14ac:dyDescent="0.25">
      <c r="A163" s="6" t="s">
        <v>254</v>
      </c>
      <c r="B163" s="6">
        <v>1.44</v>
      </c>
    </row>
    <row r="164" spans="1:2" x14ac:dyDescent="0.25">
      <c r="A164" s="6" t="s">
        <v>255</v>
      </c>
      <c r="B164" s="6">
        <v>0.84</v>
      </c>
    </row>
    <row r="165" spans="1:2" x14ac:dyDescent="0.25">
      <c r="A165" s="6" t="s">
        <v>256</v>
      </c>
      <c r="B165" s="6">
        <v>0.2</v>
      </c>
    </row>
    <row r="166" spans="1:2" x14ac:dyDescent="0.25">
      <c r="A166" s="6" t="s">
        <v>257</v>
      </c>
      <c r="B166" s="6">
        <v>0.68799999999999994</v>
      </c>
    </row>
    <row r="167" spans="1:2" x14ac:dyDescent="0.25">
      <c r="A167" s="6" t="s">
        <v>258</v>
      </c>
      <c r="B167" s="6">
        <v>0.44800000000000001</v>
      </c>
    </row>
    <row r="168" spans="1:2" x14ac:dyDescent="0.25">
      <c r="A168" s="6" t="s">
        <v>259</v>
      </c>
      <c r="B168" s="6">
        <v>1.52</v>
      </c>
    </row>
    <row r="169" spans="1:2" x14ac:dyDescent="0.25">
      <c r="A169" s="6" t="s">
        <v>260</v>
      </c>
      <c r="B169" s="6">
        <v>1.2</v>
      </c>
    </row>
    <row r="170" spans="1:2" x14ac:dyDescent="0.25">
      <c r="A170" s="6" t="s">
        <v>261</v>
      </c>
      <c r="B170" s="6">
        <v>1.68</v>
      </c>
    </row>
    <row r="171" spans="1:2" x14ac:dyDescent="0.25">
      <c r="A171" s="6" t="s">
        <v>262</v>
      </c>
      <c r="B171" s="6">
        <v>1.08</v>
      </c>
    </row>
    <row r="172" spans="1:2" x14ac:dyDescent="0.25">
      <c r="A172" s="6" t="s">
        <v>263</v>
      </c>
      <c r="B172" s="6">
        <v>0.25600000000000001</v>
      </c>
    </row>
    <row r="173" spans="1:2" x14ac:dyDescent="0.25">
      <c r="A173" s="6" t="s">
        <v>264</v>
      </c>
      <c r="B173" s="6">
        <v>3.68</v>
      </c>
    </row>
    <row r="174" spans="1:2" x14ac:dyDescent="0.25">
      <c r="A174" s="6" t="s">
        <v>265</v>
      </c>
      <c r="B174" s="6">
        <v>0.72</v>
      </c>
    </row>
    <row r="175" spans="1:2" x14ac:dyDescent="0.25">
      <c r="A175" s="6" t="s">
        <v>266</v>
      </c>
      <c r="B175" s="6">
        <v>0.8</v>
      </c>
    </row>
    <row r="176" spans="1:2" x14ac:dyDescent="0.25">
      <c r="A176" s="6" t="s">
        <v>267</v>
      </c>
      <c r="B176" s="6">
        <v>1.08</v>
      </c>
    </row>
    <row r="177" spans="1:2" x14ac:dyDescent="0.25">
      <c r="A177" s="6" t="s">
        <v>268</v>
      </c>
      <c r="B177" s="6">
        <v>1.2</v>
      </c>
    </row>
    <row r="178" spans="1:2" x14ac:dyDescent="0.25">
      <c r="A178" s="6" t="s">
        <v>269</v>
      </c>
      <c r="B178" s="6">
        <v>1.24</v>
      </c>
    </row>
    <row r="179" spans="1:2" x14ac:dyDescent="0.25">
      <c r="A179" s="6" t="s">
        <v>270</v>
      </c>
      <c r="B179" s="6">
        <v>1.6</v>
      </c>
    </row>
    <row r="180" spans="1:2" x14ac:dyDescent="0.25">
      <c r="A180" s="6" t="s">
        <v>271</v>
      </c>
      <c r="B180" s="6">
        <v>1.6</v>
      </c>
    </row>
    <row r="181" spans="1:2" x14ac:dyDescent="0.25">
      <c r="A181" s="6" t="s">
        <v>272</v>
      </c>
      <c r="B181" s="6">
        <v>1</v>
      </c>
    </row>
    <row r="182" spans="1:2" x14ac:dyDescent="0.25">
      <c r="A182" s="6" t="s">
        <v>273</v>
      </c>
      <c r="B182" s="6">
        <v>1.1200000000000001</v>
      </c>
    </row>
    <row r="183" spans="1:2" x14ac:dyDescent="0.25">
      <c r="A183" s="6" t="s">
        <v>274</v>
      </c>
      <c r="B183" s="6">
        <v>0.6</v>
      </c>
    </row>
    <row r="184" spans="1:2" x14ac:dyDescent="0.25">
      <c r="A184" s="6" t="s">
        <v>275</v>
      </c>
      <c r="B184" s="6">
        <v>0.72</v>
      </c>
    </row>
    <row r="185" spans="1:2" x14ac:dyDescent="0.25">
      <c r="A185" s="6" t="s">
        <v>276</v>
      </c>
      <c r="B185" s="6">
        <v>0.72</v>
      </c>
    </row>
    <row r="186" spans="1:2" x14ac:dyDescent="0.25">
      <c r="A186" s="6" t="s">
        <v>277</v>
      </c>
      <c r="B186" s="6">
        <v>0.79</v>
      </c>
    </row>
    <row r="187" spans="1:2" x14ac:dyDescent="0.25">
      <c r="A187" s="6" t="s">
        <v>278</v>
      </c>
      <c r="B187" s="6">
        <v>0.4</v>
      </c>
    </row>
    <row r="188" spans="1:2" x14ac:dyDescent="0.25">
      <c r="A188" s="6" t="s">
        <v>279</v>
      </c>
      <c r="B188" s="6">
        <v>0.6</v>
      </c>
    </row>
    <row r="189" spans="1:2" x14ac:dyDescent="0.25">
      <c r="A189" s="6" t="s">
        <v>280</v>
      </c>
      <c r="B189" s="6">
        <v>0.64</v>
      </c>
    </row>
    <row r="190" spans="1:2" x14ac:dyDescent="0.25">
      <c r="A190" s="6" t="s">
        <v>281</v>
      </c>
      <c r="B190" s="6">
        <v>1.88</v>
      </c>
    </row>
    <row r="191" spans="1:2" x14ac:dyDescent="0.25">
      <c r="A191" s="6" t="s">
        <v>282</v>
      </c>
      <c r="B191" s="6">
        <v>1.3</v>
      </c>
    </row>
    <row r="192" spans="1:2" x14ac:dyDescent="0.25">
      <c r="A192" s="6" t="s">
        <v>283</v>
      </c>
      <c r="B192" s="6">
        <v>1.52</v>
      </c>
    </row>
    <row r="193" spans="1:2" x14ac:dyDescent="0.25">
      <c r="A193" s="6" t="s">
        <v>284</v>
      </c>
      <c r="B193" s="6">
        <v>1.84</v>
      </c>
    </row>
    <row r="194" spans="1:2" x14ac:dyDescent="0.25">
      <c r="A194" s="6" t="s">
        <v>285</v>
      </c>
      <c r="B194" s="6">
        <v>1.36</v>
      </c>
    </row>
    <row r="195" spans="1:2" x14ac:dyDescent="0.25">
      <c r="A195" s="6" t="s">
        <v>286</v>
      </c>
      <c r="B195" s="6">
        <v>1.36</v>
      </c>
    </row>
    <row r="196" spans="1:2" x14ac:dyDescent="0.25">
      <c r="A196" s="6" t="s">
        <v>287</v>
      </c>
      <c r="B196" s="6">
        <v>0.52</v>
      </c>
    </row>
    <row r="197" spans="1:2" x14ac:dyDescent="0.25">
      <c r="A197" s="6" t="s">
        <v>288</v>
      </c>
      <c r="B197" s="6">
        <v>1</v>
      </c>
    </row>
    <row r="198" spans="1:2" x14ac:dyDescent="0.25">
      <c r="A198" s="6" t="s">
        <v>289</v>
      </c>
      <c r="B198" s="6">
        <v>0.64</v>
      </c>
    </row>
    <row r="199" spans="1:2" x14ac:dyDescent="0.25">
      <c r="A199" s="6" t="s">
        <v>290</v>
      </c>
      <c r="B199" s="6">
        <v>0.6</v>
      </c>
    </row>
    <row r="200" spans="1:2" x14ac:dyDescent="0.25">
      <c r="A200" s="6" t="s">
        <v>291</v>
      </c>
      <c r="B200" s="6">
        <v>1</v>
      </c>
    </row>
    <row r="201" spans="1:2" x14ac:dyDescent="0.25">
      <c r="A201" s="6" t="s">
        <v>292</v>
      </c>
      <c r="B201" s="6">
        <v>0.48</v>
      </c>
    </row>
    <row r="202" spans="1:2" x14ac:dyDescent="0.25">
      <c r="A202" s="6" t="s">
        <v>293</v>
      </c>
      <c r="B202" s="6">
        <v>0.8</v>
      </c>
    </row>
    <row r="203" spans="1:2" x14ac:dyDescent="0.25">
      <c r="A203" s="6" t="s">
        <v>294</v>
      </c>
      <c r="B203" s="6">
        <v>0.51200000000000001</v>
      </c>
    </row>
    <row r="204" spans="1:2" x14ac:dyDescent="0.25">
      <c r="A204" s="6" t="s">
        <v>295</v>
      </c>
      <c r="B204" s="6">
        <v>0.59199999999999997</v>
      </c>
    </row>
    <row r="205" spans="1:2" x14ac:dyDescent="0.25">
      <c r="A205" s="6" t="s">
        <v>296</v>
      </c>
      <c r="B205" s="6">
        <v>0.64</v>
      </c>
    </row>
    <row r="206" spans="1:2" x14ac:dyDescent="0.25">
      <c r="A206" s="6" t="s">
        <v>297</v>
      </c>
      <c r="B206" s="6">
        <v>0.64</v>
      </c>
    </row>
    <row r="207" spans="1:2" x14ac:dyDescent="0.25">
      <c r="A207" s="6" t="s">
        <v>298</v>
      </c>
      <c r="B207" s="6">
        <v>0.64</v>
      </c>
    </row>
    <row r="208" spans="1:2" x14ac:dyDescent="0.25">
      <c r="A208" s="6" t="s">
        <v>299</v>
      </c>
      <c r="B208" s="6">
        <v>0.94</v>
      </c>
    </row>
    <row r="209" spans="1:2" x14ac:dyDescent="0.25">
      <c r="A209" s="6" t="s">
        <v>300</v>
      </c>
      <c r="B209" s="6">
        <v>0.64</v>
      </c>
    </row>
    <row r="210" spans="1:2" x14ac:dyDescent="0.25">
      <c r="A210" s="6" t="s">
        <v>301</v>
      </c>
      <c r="B210" s="6">
        <v>0.48</v>
      </c>
    </row>
    <row r="211" spans="1:2" x14ac:dyDescent="0.25">
      <c r="A211" s="6" t="s">
        <v>302</v>
      </c>
      <c r="B211" s="6">
        <v>1.36</v>
      </c>
    </row>
    <row r="212" spans="1:2" x14ac:dyDescent="0.25">
      <c r="A212" s="6" t="s">
        <v>303</v>
      </c>
      <c r="B212" s="6">
        <v>1.4</v>
      </c>
    </row>
    <row r="213" spans="1:2" x14ac:dyDescent="0.25">
      <c r="A213" s="6" t="s">
        <v>304</v>
      </c>
      <c r="B213" s="6">
        <v>1.55</v>
      </c>
    </row>
    <row r="214" spans="1:2" x14ac:dyDescent="0.25">
      <c r="A214" s="6" t="s">
        <v>305</v>
      </c>
      <c r="B214" s="6">
        <v>0.64</v>
      </c>
    </row>
    <row r="215" spans="1:2" x14ac:dyDescent="0.25">
      <c r="A215" s="6" t="s">
        <v>306</v>
      </c>
      <c r="B215" s="6">
        <v>0.64</v>
      </c>
    </row>
    <row r="216" spans="1:2" x14ac:dyDescent="0.25">
      <c r="A216" s="6" t="s">
        <v>307</v>
      </c>
      <c r="B216" s="6">
        <v>0.28000000000000003</v>
      </c>
    </row>
    <row r="217" spans="1:2" x14ac:dyDescent="0.25">
      <c r="A217" s="6" t="s">
        <v>308</v>
      </c>
      <c r="B217" s="6">
        <v>0.17749999999999999</v>
      </c>
    </row>
    <row r="218" spans="1:2" x14ac:dyDescent="0.25">
      <c r="A218" s="6" t="s">
        <v>309</v>
      </c>
      <c r="B218" s="6">
        <v>1.52</v>
      </c>
    </row>
    <row r="219" spans="1:2" x14ac:dyDescent="0.25">
      <c r="A219" s="6" t="s">
        <v>310</v>
      </c>
      <c r="B219" s="6">
        <v>1.52</v>
      </c>
    </row>
    <row r="220" spans="1:2" x14ac:dyDescent="0.25">
      <c r="A220" s="6" t="s">
        <v>311</v>
      </c>
      <c r="B220" s="6">
        <v>1.84</v>
      </c>
    </row>
    <row r="221" spans="1:2" x14ac:dyDescent="0.25">
      <c r="A221" s="6" t="s">
        <v>312</v>
      </c>
      <c r="B221" s="6">
        <v>0.92</v>
      </c>
    </row>
    <row r="222" spans="1:2" x14ac:dyDescent="0.25">
      <c r="A222" s="6" t="s">
        <v>313</v>
      </c>
      <c r="B222" s="6">
        <v>1.1200000000000001</v>
      </c>
    </row>
    <row r="223" spans="1:2" x14ac:dyDescent="0.25">
      <c r="A223" s="6" t="s">
        <v>314</v>
      </c>
      <c r="B223" s="6">
        <v>1.488</v>
      </c>
    </row>
    <row r="224" spans="1:2" x14ac:dyDescent="0.25">
      <c r="A224" s="6" t="s">
        <v>315</v>
      </c>
      <c r="B224" s="6">
        <v>1.04</v>
      </c>
    </row>
    <row r="225" spans="1:2" x14ac:dyDescent="0.25">
      <c r="A225" s="6" t="s">
        <v>316</v>
      </c>
      <c r="B225" s="6">
        <v>1.2</v>
      </c>
    </row>
    <row r="226" spans="1:2" x14ac:dyDescent="0.25">
      <c r="A226" s="6" t="s">
        <v>317</v>
      </c>
      <c r="B226" s="6">
        <v>1.2</v>
      </c>
    </row>
    <row r="227" spans="1:2" x14ac:dyDescent="0.25">
      <c r="A227" s="6" t="s">
        <v>318</v>
      </c>
      <c r="B227" s="6">
        <v>1.52</v>
      </c>
    </row>
    <row r="228" spans="1:2" x14ac:dyDescent="0.25">
      <c r="A228" s="6" t="s">
        <v>319</v>
      </c>
      <c r="B228" s="6">
        <v>1.1200000000000001</v>
      </c>
    </row>
    <row r="229" spans="1:2" x14ac:dyDescent="0.25">
      <c r="A229" s="6" t="s">
        <v>320</v>
      </c>
      <c r="B229" s="6">
        <v>1.008</v>
      </c>
    </row>
    <row r="230" spans="1:2" x14ac:dyDescent="0.25">
      <c r="A230" s="6" t="s">
        <v>321</v>
      </c>
      <c r="B230" s="6">
        <v>0.08</v>
      </c>
    </row>
    <row r="231" spans="1:2" x14ac:dyDescent="0.25">
      <c r="A231" s="6" t="s">
        <v>322</v>
      </c>
      <c r="B231" s="6">
        <v>0.59199999999999997</v>
      </c>
    </row>
    <row r="232" spans="1:2" x14ac:dyDescent="0.25">
      <c r="A232" s="6" t="s">
        <v>323</v>
      </c>
      <c r="B232" s="6">
        <v>0.56000000000000005</v>
      </c>
    </row>
    <row r="233" spans="1:2" x14ac:dyDescent="0.25">
      <c r="A233" s="6" t="s">
        <v>324</v>
      </c>
      <c r="B233" s="6">
        <v>0.84</v>
      </c>
    </row>
    <row r="234" spans="1:2" x14ac:dyDescent="0.25">
      <c r="A234" s="6" t="s">
        <v>325</v>
      </c>
      <c r="B234" s="6">
        <v>0.64</v>
      </c>
    </row>
    <row r="235" spans="1:2" x14ac:dyDescent="0.25">
      <c r="A235" s="6" t="s">
        <v>326</v>
      </c>
      <c r="B235" s="6">
        <v>2.2400000000000002</v>
      </c>
    </row>
    <row r="236" spans="1:2" x14ac:dyDescent="0.25">
      <c r="A236" s="6" t="s">
        <v>327</v>
      </c>
      <c r="B236" s="6">
        <v>2</v>
      </c>
    </row>
    <row r="237" spans="1:2" x14ac:dyDescent="0.25">
      <c r="A237" s="6" t="s">
        <v>328</v>
      </c>
      <c r="B237" s="6">
        <v>2.4</v>
      </c>
    </row>
    <row r="238" spans="1:2" x14ac:dyDescent="0.25">
      <c r="A238" s="6" t="s">
        <v>329</v>
      </c>
      <c r="B238" s="6">
        <v>2.2799999999999998</v>
      </c>
    </row>
    <row r="239" spans="1:2" x14ac:dyDescent="0.25">
      <c r="A239" s="6" t="s">
        <v>330</v>
      </c>
      <c r="B239" s="6">
        <v>2.69</v>
      </c>
    </row>
    <row r="240" spans="1:2" x14ac:dyDescent="0.25">
      <c r="A240" s="6" t="s">
        <v>331</v>
      </c>
      <c r="B240" s="6">
        <v>0.4</v>
      </c>
    </row>
    <row r="241" spans="1:2" x14ac:dyDescent="0.25">
      <c r="A241" s="6" t="s">
        <v>332</v>
      </c>
      <c r="B241" s="6">
        <v>1.01</v>
      </c>
    </row>
    <row r="242" spans="1:2" x14ac:dyDescent="0.25">
      <c r="A242" s="6" t="s">
        <v>333</v>
      </c>
      <c r="B242" s="6">
        <v>0.78400000000000003</v>
      </c>
    </row>
    <row r="243" spans="1:2" x14ac:dyDescent="0.25">
      <c r="A243" s="6" t="s">
        <v>334</v>
      </c>
      <c r="B243" s="6">
        <v>0.51200000000000001</v>
      </c>
    </row>
    <row r="244" spans="1:2" x14ac:dyDescent="0.25">
      <c r="A244" s="6" t="s">
        <v>335</v>
      </c>
      <c r="B244" s="6">
        <v>1.1519999999999999</v>
      </c>
    </row>
    <row r="245" spans="1:2" x14ac:dyDescent="0.25">
      <c r="A245" s="6" t="s">
        <v>336</v>
      </c>
      <c r="B245" s="6">
        <v>3.76</v>
      </c>
    </row>
    <row r="246" spans="1:2" x14ac:dyDescent="0.25">
      <c r="A246" s="6" t="s">
        <v>337</v>
      </c>
      <c r="B246" s="6">
        <v>1.44</v>
      </c>
    </row>
    <row r="247" spans="1:2" x14ac:dyDescent="0.25">
      <c r="A247" s="6" t="s">
        <v>338</v>
      </c>
      <c r="B247" s="6">
        <v>0.8</v>
      </c>
    </row>
    <row r="248" spans="1:2" x14ac:dyDescent="0.25">
      <c r="A248" s="6" t="s">
        <v>339</v>
      </c>
      <c r="B248" s="6">
        <v>0.93</v>
      </c>
    </row>
    <row r="249" spans="1:2" x14ac:dyDescent="0.25">
      <c r="A249" s="6" t="s">
        <v>340</v>
      </c>
      <c r="B249" s="6">
        <v>0.96</v>
      </c>
    </row>
    <row r="250" spans="1:2" x14ac:dyDescent="0.25">
      <c r="A250" s="6" t="s">
        <v>341</v>
      </c>
      <c r="B250" s="6">
        <v>0.64</v>
      </c>
    </row>
    <row r="251" spans="1:2" x14ac:dyDescent="0.25">
      <c r="A251" s="6" t="s">
        <v>342</v>
      </c>
      <c r="B251" s="6">
        <v>0.64</v>
      </c>
    </row>
    <row r="252" spans="1:2" x14ac:dyDescent="0.25">
      <c r="A252" s="6" t="s">
        <v>343</v>
      </c>
      <c r="B252" s="6">
        <v>0.57599999999999996</v>
      </c>
    </row>
    <row r="253" spans="1:2" x14ac:dyDescent="0.25">
      <c r="A253" s="6" t="s">
        <v>344</v>
      </c>
      <c r="B253" s="6">
        <v>0.85</v>
      </c>
    </row>
    <row r="254" spans="1:2" x14ac:dyDescent="0.25">
      <c r="A254" s="6" t="s">
        <v>345</v>
      </c>
      <c r="B254" s="6">
        <v>1.28</v>
      </c>
    </row>
    <row r="255" spans="1:2" x14ac:dyDescent="0.25">
      <c r="A255" s="6" t="s">
        <v>346</v>
      </c>
      <c r="B255" s="6">
        <v>1.4</v>
      </c>
    </row>
    <row r="256" spans="1:2" x14ac:dyDescent="0.25">
      <c r="A256" s="6" t="s">
        <v>347</v>
      </c>
      <c r="B256" s="6">
        <v>1.0880000000000001</v>
      </c>
    </row>
    <row r="257" spans="1:2" x14ac:dyDescent="0.25">
      <c r="A257" s="6" t="s">
        <v>348</v>
      </c>
      <c r="B257" s="6">
        <v>1.4</v>
      </c>
    </row>
    <row r="258" spans="1:2" x14ac:dyDescent="0.25">
      <c r="A258" s="6" t="s">
        <v>349</v>
      </c>
      <c r="B258" s="6">
        <v>1.44</v>
      </c>
    </row>
    <row r="259" spans="1:2" x14ac:dyDescent="0.25">
      <c r="A259" s="6" t="s">
        <v>350</v>
      </c>
      <c r="B259" s="6">
        <v>0.8</v>
      </c>
    </row>
    <row r="260" spans="1:2" x14ac:dyDescent="0.25">
      <c r="A260" s="6" t="s">
        <v>351</v>
      </c>
      <c r="B260" s="6">
        <v>0.68</v>
      </c>
    </row>
    <row r="261" spans="1:2" x14ac:dyDescent="0.25">
      <c r="A261" s="6" t="s">
        <v>352</v>
      </c>
      <c r="B261" s="6">
        <v>3.6</v>
      </c>
    </row>
    <row r="262" spans="1:2" x14ac:dyDescent="0.25">
      <c r="A262" s="6" t="s">
        <v>353</v>
      </c>
      <c r="B262" s="6">
        <v>0.76</v>
      </c>
    </row>
    <row r="263" spans="1:2" x14ac:dyDescent="0.25">
      <c r="A263" s="6" t="s">
        <v>354</v>
      </c>
      <c r="B263" s="6">
        <v>1.1200000000000001</v>
      </c>
    </row>
    <row r="264" spans="1:2" x14ac:dyDescent="0.25">
      <c r="A264" s="6" t="s">
        <v>355</v>
      </c>
      <c r="B264" s="6">
        <v>0.52800000000000002</v>
      </c>
    </row>
    <row r="265" spans="1:2" x14ac:dyDescent="0.25">
      <c r="A265" s="6" t="s">
        <v>356</v>
      </c>
      <c r="B265" s="6">
        <v>1.1200000000000001</v>
      </c>
    </row>
    <row r="266" spans="1:2" x14ac:dyDescent="0.25">
      <c r="A266" s="6" t="s">
        <v>357</v>
      </c>
      <c r="B266" s="6">
        <v>0.33750000000000002</v>
      </c>
    </row>
    <row r="267" spans="1:2" x14ac:dyDescent="0.25">
      <c r="A267" s="6" t="s">
        <v>358</v>
      </c>
      <c r="B267" s="6">
        <v>0.45500000000000002</v>
      </c>
    </row>
    <row r="268" spans="1:2" x14ac:dyDescent="0.25">
      <c r="A268" s="6" t="s">
        <v>359</v>
      </c>
      <c r="B268" s="6">
        <v>1</v>
      </c>
    </row>
    <row r="269" spans="1:2" x14ac:dyDescent="0.25">
      <c r="A269" s="6" t="s">
        <v>360</v>
      </c>
      <c r="B269" s="6">
        <v>0.60499999999999998</v>
      </c>
    </row>
    <row r="270" spans="1:2" x14ac:dyDescent="0.25">
      <c r="A270" s="6" t="s">
        <v>361</v>
      </c>
      <c r="B270" s="6">
        <v>0.24</v>
      </c>
    </row>
    <row r="271" spans="1:2" x14ac:dyDescent="0.25">
      <c r="A271" s="6" t="s">
        <v>362</v>
      </c>
      <c r="B271" s="6">
        <v>1.28</v>
      </c>
    </row>
    <row r="272" spans="1:2" x14ac:dyDescent="0.25">
      <c r="A272" s="6" t="s">
        <v>363</v>
      </c>
      <c r="B272" s="6">
        <v>2.12</v>
      </c>
    </row>
    <row r="273" spans="1:2" x14ac:dyDescent="0.25">
      <c r="A273" s="6" t="s">
        <v>364</v>
      </c>
      <c r="B273" s="6">
        <v>1.1200000000000001</v>
      </c>
    </row>
    <row r="274" spans="1:2" x14ac:dyDescent="0.25">
      <c r="A274" s="6" t="s">
        <v>365</v>
      </c>
      <c r="B274" s="6">
        <v>1.48</v>
      </c>
    </row>
    <row r="275" spans="1:2" x14ac:dyDescent="0.25">
      <c r="A275" s="6" t="s">
        <v>366</v>
      </c>
      <c r="B275" s="6">
        <v>1.28</v>
      </c>
    </row>
    <row r="276" spans="1:2" x14ac:dyDescent="0.25">
      <c r="A276" s="6" t="s">
        <v>367</v>
      </c>
      <c r="B276" s="6">
        <v>0.64</v>
      </c>
    </row>
    <row r="277" spans="1:2" x14ac:dyDescent="0.25">
      <c r="A277" s="6" t="s">
        <v>368</v>
      </c>
      <c r="B277" s="6">
        <v>0.84</v>
      </c>
    </row>
    <row r="278" spans="1:2" x14ac:dyDescent="0.25">
      <c r="A278" s="6" t="s">
        <v>369</v>
      </c>
      <c r="B278" s="6">
        <v>0.224</v>
      </c>
    </row>
    <row r="279" spans="1:2" x14ac:dyDescent="0.25">
      <c r="A279" s="6" t="s">
        <v>370</v>
      </c>
      <c r="B279" s="6">
        <v>0.4</v>
      </c>
    </row>
    <row r="280" spans="1:2" x14ac:dyDescent="0.25">
      <c r="A280" s="6" t="s">
        <v>371</v>
      </c>
      <c r="B280" s="6">
        <v>0.312</v>
      </c>
    </row>
    <row r="281" spans="1:2" x14ac:dyDescent="0.25">
      <c r="A281" s="6" t="s">
        <v>372</v>
      </c>
      <c r="B281" s="6">
        <v>0.57499999999999996</v>
      </c>
    </row>
    <row r="282" spans="1:2" x14ac:dyDescent="0.25">
      <c r="A282" s="6" t="s">
        <v>373</v>
      </c>
      <c r="B282" s="6">
        <v>0.57599999999999996</v>
      </c>
    </row>
    <row r="283" spans="1:2" x14ac:dyDescent="0.25">
      <c r="A283" s="6" t="s">
        <v>374</v>
      </c>
      <c r="B283" s="6">
        <v>0.43</v>
      </c>
    </row>
    <row r="284" spans="1:2" x14ac:dyDescent="0.25">
      <c r="A284" s="6" t="s">
        <v>375</v>
      </c>
      <c r="B284" s="6">
        <v>0.32</v>
      </c>
    </row>
    <row r="285" spans="1:2" x14ac:dyDescent="0.25">
      <c r="A285" s="6" t="s">
        <v>376</v>
      </c>
      <c r="B285" s="6">
        <v>0.89600000000000002</v>
      </c>
    </row>
    <row r="286" spans="1:2" x14ac:dyDescent="0.25">
      <c r="A286" s="6" t="s">
        <v>377</v>
      </c>
      <c r="B286" s="6">
        <v>1.712</v>
      </c>
    </row>
    <row r="287" spans="1:2" x14ac:dyDescent="0.25">
      <c r="A287" s="6" t="s">
        <v>378</v>
      </c>
      <c r="B287" s="6">
        <v>2.4</v>
      </c>
    </row>
    <row r="288" spans="1:2" x14ac:dyDescent="0.25">
      <c r="A288" s="6" t="s">
        <v>379</v>
      </c>
      <c r="B288" s="6">
        <v>1.232</v>
      </c>
    </row>
    <row r="289" spans="1:2" x14ac:dyDescent="0.25">
      <c r="A289" s="6" t="s">
        <v>380</v>
      </c>
      <c r="B289" s="6">
        <v>0.72</v>
      </c>
    </row>
    <row r="290" spans="1:2" x14ac:dyDescent="0.25">
      <c r="A290" s="6" t="s">
        <v>381</v>
      </c>
      <c r="B290" s="6">
        <v>0.8</v>
      </c>
    </row>
    <row r="291" spans="1:2" x14ac:dyDescent="0.25">
      <c r="A291" s="6" t="s">
        <v>382</v>
      </c>
      <c r="B291" s="6">
        <v>0.38400000000000001</v>
      </c>
    </row>
    <row r="292" spans="1:2" x14ac:dyDescent="0.25">
      <c r="A292" s="6" t="s">
        <v>383</v>
      </c>
      <c r="B292" s="6">
        <v>0.95</v>
      </c>
    </row>
    <row r="293" spans="1:2" x14ac:dyDescent="0.25">
      <c r="A293" s="6" t="s">
        <v>384</v>
      </c>
      <c r="B293" s="6">
        <v>0.72</v>
      </c>
    </row>
    <row r="294" spans="1:2" x14ac:dyDescent="0.25">
      <c r="A294" s="6" t="s">
        <v>385</v>
      </c>
      <c r="B294" s="6">
        <v>0.56000000000000005</v>
      </c>
    </row>
    <row r="295" spans="1:2" x14ac:dyDescent="0.25">
      <c r="A295" s="6" t="s">
        <v>386</v>
      </c>
      <c r="B295" s="6">
        <v>2.4</v>
      </c>
    </row>
    <row r="296" spans="1:2" x14ac:dyDescent="0.25">
      <c r="A296" s="6" t="s">
        <v>387</v>
      </c>
      <c r="B296" s="6">
        <v>1.2</v>
      </c>
    </row>
    <row r="297" spans="1:2" x14ac:dyDescent="0.25">
      <c r="A297" s="6" t="s">
        <v>388</v>
      </c>
      <c r="B297" s="6">
        <v>0.9</v>
      </c>
    </row>
    <row r="298" spans="1:2" x14ac:dyDescent="0.25">
      <c r="A298" s="6" t="s">
        <v>389</v>
      </c>
      <c r="B298" s="6">
        <v>0.41599999999999998</v>
      </c>
    </row>
    <row r="299" spans="1:2" x14ac:dyDescent="0.25">
      <c r="A299" s="6" t="s">
        <v>390</v>
      </c>
      <c r="B299" s="6">
        <v>0.30399999999999999</v>
      </c>
    </row>
    <row r="300" spans="1:2" x14ac:dyDescent="0.25">
      <c r="A300" s="6" t="s">
        <v>391</v>
      </c>
      <c r="B300" s="6">
        <v>0.78400000000000003</v>
      </c>
    </row>
    <row r="301" spans="1:2" x14ac:dyDescent="0.25">
      <c r="A301" s="6" t="s">
        <v>392</v>
      </c>
      <c r="B301" s="6">
        <v>2.2400000000000002</v>
      </c>
    </row>
    <row r="302" spans="1:2" x14ac:dyDescent="0.25">
      <c r="A302" s="6" t="s">
        <v>393</v>
      </c>
      <c r="B302" s="6">
        <v>0.96</v>
      </c>
    </row>
    <row r="303" spans="1:2" x14ac:dyDescent="0.25">
      <c r="A303" s="6" t="s">
        <v>394</v>
      </c>
      <c r="B303" s="6">
        <v>0.84799999999999998</v>
      </c>
    </row>
    <row r="304" spans="1:2" x14ac:dyDescent="0.25">
      <c r="A304" s="6" t="s">
        <v>395</v>
      </c>
      <c r="B304" s="6">
        <v>1.28</v>
      </c>
    </row>
    <row r="305" spans="1:2" x14ac:dyDescent="0.25">
      <c r="A305" s="6" t="s">
        <v>396</v>
      </c>
      <c r="B305" s="6">
        <v>0.8</v>
      </c>
    </row>
    <row r="306" spans="1:2" x14ac:dyDescent="0.25">
      <c r="A306" s="6" t="s">
        <v>397</v>
      </c>
      <c r="B306" s="6">
        <v>0.76</v>
      </c>
    </row>
    <row r="307" spans="1:2" x14ac:dyDescent="0.25">
      <c r="A307" s="6" t="s">
        <v>398</v>
      </c>
      <c r="B307" s="6">
        <v>0.98</v>
      </c>
    </row>
    <row r="308" spans="1:2" x14ac:dyDescent="0.25">
      <c r="A308" s="6" t="s">
        <v>399</v>
      </c>
      <c r="B308" s="6">
        <v>0.44</v>
      </c>
    </row>
    <row r="309" spans="1:2" x14ac:dyDescent="0.25">
      <c r="A309" s="6" t="s">
        <v>400</v>
      </c>
      <c r="B309" s="6">
        <v>0.2</v>
      </c>
    </row>
    <row r="310" spans="1:2" x14ac:dyDescent="0.25">
      <c r="A310" s="6" t="s">
        <v>401</v>
      </c>
      <c r="B310" s="6">
        <v>0.72</v>
      </c>
    </row>
    <row r="311" spans="1:2" x14ac:dyDescent="0.25">
      <c r="A311" s="6" t="s">
        <v>402</v>
      </c>
      <c r="B311" s="6">
        <v>0.28000000000000003</v>
      </c>
    </row>
    <row r="312" spans="1:2" x14ac:dyDescent="0.25">
      <c r="A312" s="6" t="s">
        <v>403</v>
      </c>
      <c r="B312" s="6">
        <v>0.64</v>
      </c>
    </row>
    <row r="313" spans="1:2" x14ac:dyDescent="0.25">
      <c r="A313" s="6" t="s">
        <v>404</v>
      </c>
      <c r="B313" s="6">
        <v>0.76</v>
      </c>
    </row>
    <row r="314" spans="1:2" x14ac:dyDescent="0.25">
      <c r="A314" s="6" t="s">
        <v>405</v>
      </c>
      <c r="B314" s="6">
        <v>1.52</v>
      </c>
    </row>
    <row r="315" spans="1:2" x14ac:dyDescent="0.25">
      <c r="A315" s="6" t="s">
        <v>406</v>
      </c>
      <c r="B315" s="6">
        <v>1.44</v>
      </c>
    </row>
    <row r="316" spans="1:2" x14ac:dyDescent="0.25">
      <c r="A316" s="6" t="s">
        <v>407</v>
      </c>
      <c r="B316" s="6">
        <v>1.08</v>
      </c>
    </row>
    <row r="317" spans="1:2" x14ac:dyDescent="0.25">
      <c r="A317" s="6" t="s">
        <v>408</v>
      </c>
      <c r="B317" s="6">
        <v>1.44</v>
      </c>
    </row>
    <row r="318" spans="1:2" x14ac:dyDescent="0.25">
      <c r="A318" s="6" t="s">
        <v>409</v>
      </c>
      <c r="B318" s="6">
        <v>0.84</v>
      </c>
    </row>
    <row r="319" spans="1:2" x14ac:dyDescent="0.25">
      <c r="A319" s="6" t="s">
        <v>410</v>
      </c>
      <c r="B319" s="6">
        <v>1.28</v>
      </c>
    </row>
    <row r="320" spans="1:2" x14ac:dyDescent="0.25">
      <c r="A320" s="6" t="s">
        <v>411</v>
      </c>
      <c r="B320" s="6">
        <v>0.96</v>
      </c>
    </row>
    <row r="321" spans="1:2" x14ac:dyDescent="0.25">
      <c r="A321" s="6" t="s">
        <v>412</v>
      </c>
      <c r="B321" s="6">
        <v>1.52</v>
      </c>
    </row>
    <row r="322" spans="1:2" x14ac:dyDescent="0.25">
      <c r="A322" s="6" t="s">
        <v>413</v>
      </c>
      <c r="B322" s="6">
        <v>0.88</v>
      </c>
    </row>
    <row r="323" spans="1:2" x14ac:dyDescent="0.25">
      <c r="A323" s="6" t="s">
        <v>414</v>
      </c>
      <c r="B323" s="6">
        <v>1.49</v>
      </c>
    </row>
    <row r="324" spans="1:2" x14ac:dyDescent="0.25">
      <c r="A324" s="6" t="s">
        <v>415</v>
      </c>
      <c r="B324" s="6">
        <v>0.97499999999999998</v>
      </c>
    </row>
    <row r="325" spans="1:2" x14ac:dyDescent="0.25">
      <c r="A325" s="6" t="s">
        <v>416</v>
      </c>
      <c r="B325" s="6">
        <v>0.64</v>
      </c>
    </row>
    <row r="326" spans="1:2" x14ac:dyDescent="0.25">
      <c r="A326" s="6" t="s">
        <v>417</v>
      </c>
      <c r="B326" s="6">
        <v>1.28</v>
      </c>
    </row>
    <row r="327" spans="1:2" x14ac:dyDescent="0.25">
      <c r="A327" s="6" t="s">
        <v>418</v>
      </c>
      <c r="B327" s="6">
        <v>0.81599999999999995</v>
      </c>
    </row>
    <row r="328" spans="1:2" x14ac:dyDescent="0.25">
      <c r="A328" s="6" t="s">
        <v>419</v>
      </c>
      <c r="B328" s="6">
        <v>2</v>
      </c>
    </row>
    <row r="329" spans="1:2" x14ac:dyDescent="0.25">
      <c r="A329" s="6" t="s">
        <v>420</v>
      </c>
      <c r="B329" s="6">
        <v>1.216</v>
      </c>
    </row>
    <row r="330" spans="1:2" x14ac:dyDescent="0.25">
      <c r="A330" s="6" t="s">
        <v>421</v>
      </c>
      <c r="B330" s="6">
        <v>0.72</v>
      </c>
    </row>
    <row r="331" spans="1:2" x14ac:dyDescent="0.25">
      <c r="A331" s="6" t="s">
        <v>422</v>
      </c>
      <c r="B331" s="6">
        <v>0.69599999999999995</v>
      </c>
    </row>
    <row r="332" spans="1:2" x14ac:dyDescent="0.25">
      <c r="A332" s="6" t="s">
        <v>423</v>
      </c>
      <c r="B332" s="6">
        <v>2.2400000000000002</v>
      </c>
    </row>
    <row r="333" spans="1:2" x14ac:dyDescent="0.25">
      <c r="A333" s="6" t="s">
        <v>424</v>
      </c>
      <c r="B333" s="6">
        <v>2</v>
      </c>
    </row>
    <row r="334" spans="1:2" x14ac:dyDescent="0.25">
      <c r="A334" s="6" t="s">
        <v>425</v>
      </c>
      <c r="B334" s="6">
        <v>1.2</v>
      </c>
    </row>
    <row r="335" spans="1:2" x14ac:dyDescent="0.25">
      <c r="A335" s="6" t="s">
        <v>426</v>
      </c>
      <c r="B335" s="6">
        <v>1.76</v>
      </c>
    </row>
    <row r="336" spans="1:2" x14ac:dyDescent="0.25">
      <c r="A336" s="6" t="s">
        <v>427</v>
      </c>
      <c r="B336" s="6">
        <v>1.36</v>
      </c>
    </row>
    <row r="337" spans="1:2" x14ac:dyDescent="0.25">
      <c r="A337" s="6" t="s">
        <v>428</v>
      </c>
      <c r="B337" s="6">
        <v>1.44</v>
      </c>
    </row>
    <row r="338" spans="1:2" x14ac:dyDescent="0.25">
      <c r="A338" s="6" t="s">
        <v>429</v>
      </c>
      <c r="B338" s="6">
        <v>0.32</v>
      </c>
    </row>
    <row r="339" spans="1:2" x14ac:dyDescent="0.25">
      <c r="A339" s="6" t="s">
        <v>430</v>
      </c>
      <c r="B339" s="6">
        <v>0.74399999999999999</v>
      </c>
    </row>
    <row r="340" spans="1:2" x14ac:dyDescent="0.25">
      <c r="A340" s="6" t="s">
        <v>431</v>
      </c>
      <c r="B340" s="6">
        <v>0.57599999999999996</v>
      </c>
    </row>
    <row r="341" spans="1:2" x14ac:dyDescent="0.25">
      <c r="A341" s="6" t="s">
        <v>432</v>
      </c>
      <c r="B341" s="6">
        <v>0.69499999999999995</v>
      </c>
    </row>
    <row r="342" spans="1:2" x14ac:dyDescent="0.25">
      <c r="A342" s="6" t="s">
        <v>433</v>
      </c>
      <c r="B342" s="6">
        <v>2.16</v>
      </c>
    </row>
    <row r="343" spans="1:2" x14ac:dyDescent="0.25">
      <c r="A343" s="6" t="s">
        <v>434</v>
      </c>
      <c r="B343" s="6">
        <v>1.68</v>
      </c>
    </row>
    <row r="344" spans="1:2" x14ac:dyDescent="0.25">
      <c r="A344" s="6" t="s">
        <v>435</v>
      </c>
      <c r="B344" s="6">
        <v>0.37</v>
      </c>
    </row>
    <row r="345" spans="1:2" x14ac:dyDescent="0.25">
      <c r="A345" s="6" t="s">
        <v>436</v>
      </c>
      <c r="B345" s="6">
        <v>0.85499999999999998</v>
      </c>
    </row>
    <row r="346" spans="1:2" x14ac:dyDescent="0.25">
      <c r="A346" s="6" t="s">
        <v>437</v>
      </c>
      <c r="B346" s="6">
        <v>0.44</v>
      </c>
    </row>
    <row r="347" spans="1:2" x14ac:dyDescent="0.25">
      <c r="A347" s="6" t="s">
        <v>438</v>
      </c>
      <c r="B347" s="6">
        <v>0.70399999999999996</v>
      </c>
    </row>
    <row r="348" spans="1:2" x14ac:dyDescent="0.25">
      <c r="A348" s="6" t="s">
        <v>439</v>
      </c>
      <c r="B348" s="6">
        <v>0.46400000000000002</v>
      </c>
    </row>
    <row r="349" spans="1:2" x14ac:dyDescent="0.25">
      <c r="A349" s="6" t="s">
        <v>440</v>
      </c>
      <c r="B349" s="6">
        <v>0.76</v>
      </c>
    </row>
    <row r="350" spans="1:2" x14ac:dyDescent="0.25">
      <c r="A350" s="6" t="s">
        <v>441</v>
      </c>
      <c r="B350" s="6">
        <v>1.2</v>
      </c>
    </row>
    <row r="351" spans="1:2" x14ac:dyDescent="0.25">
      <c r="A351" s="6" t="s">
        <v>442</v>
      </c>
      <c r="B351" s="6">
        <v>1.36</v>
      </c>
    </row>
    <row r="352" spans="1:2" x14ac:dyDescent="0.25">
      <c r="A352" s="6" t="s">
        <v>443</v>
      </c>
      <c r="B352" s="6">
        <v>1.2</v>
      </c>
    </row>
    <row r="353" spans="1:2" x14ac:dyDescent="0.25">
      <c r="A353" s="6" t="s">
        <v>444</v>
      </c>
      <c r="B353" s="6">
        <v>1.28</v>
      </c>
    </row>
    <row r="354" spans="1:2" x14ac:dyDescent="0.25">
      <c r="A354" s="6" t="s">
        <v>445</v>
      </c>
      <c r="B354" s="6">
        <v>1.92</v>
      </c>
    </row>
    <row r="355" spans="1:2" x14ac:dyDescent="0.25">
      <c r="A355" s="6" t="s">
        <v>446</v>
      </c>
      <c r="B355" s="6">
        <v>1.6</v>
      </c>
    </row>
    <row r="356" spans="1:2" x14ac:dyDescent="0.25">
      <c r="A356" s="6" t="s">
        <v>447</v>
      </c>
      <c r="B356" s="6">
        <v>1.44</v>
      </c>
    </row>
    <row r="357" spans="1:2" x14ac:dyDescent="0.25">
      <c r="A357" s="6" t="s">
        <v>448</v>
      </c>
      <c r="B357" s="6">
        <v>1.44</v>
      </c>
    </row>
    <row r="358" spans="1:2" x14ac:dyDescent="0.25">
      <c r="A358" s="6" t="s">
        <v>449</v>
      </c>
      <c r="B358" s="6">
        <v>1.52</v>
      </c>
    </row>
    <row r="359" spans="1:2" x14ac:dyDescent="0.25">
      <c r="A359" s="6" t="s">
        <v>450</v>
      </c>
      <c r="B359" s="6">
        <v>1.44</v>
      </c>
    </row>
    <row r="360" spans="1:2" x14ac:dyDescent="0.25">
      <c r="A360" s="6" t="s">
        <v>451</v>
      </c>
      <c r="B360" s="6">
        <v>1.4</v>
      </c>
    </row>
    <row r="361" spans="1:2" x14ac:dyDescent="0.25">
      <c r="A361" s="6" t="s">
        <v>452</v>
      </c>
      <c r="B361" s="6">
        <v>0.28000000000000003</v>
      </c>
    </row>
    <row r="362" spans="1:2" x14ac:dyDescent="0.25">
      <c r="A362" s="6" t="s">
        <v>453</v>
      </c>
      <c r="B362" s="6">
        <v>0.432</v>
      </c>
    </row>
    <row r="363" spans="1:2" x14ac:dyDescent="0.25">
      <c r="A363" s="6" t="s">
        <v>454</v>
      </c>
      <c r="B363" s="6">
        <v>0.96</v>
      </c>
    </row>
    <row r="364" spans="1:2" x14ac:dyDescent="0.25">
      <c r="A364" s="6" t="s">
        <v>455</v>
      </c>
      <c r="B364" s="6">
        <v>1.52</v>
      </c>
    </row>
    <row r="365" spans="1:2" x14ac:dyDescent="0.25">
      <c r="A365" s="6" t="s">
        <v>456</v>
      </c>
      <c r="B365" s="6">
        <v>1.4</v>
      </c>
    </row>
    <row r="366" spans="1:2" x14ac:dyDescent="0.25">
      <c r="A366" s="6" t="s">
        <v>457</v>
      </c>
      <c r="B366" s="6">
        <v>1.28</v>
      </c>
    </row>
    <row r="367" spans="1:2" x14ac:dyDescent="0.25">
      <c r="A367" s="6" t="s">
        <v>458</v>
      </c>
      <c r="B367" s="6">
        <v>0.496</v>
      </c>
    </row>
    <row r="368" spans="1:2" x14ac:dyDescent="0.25">
      <c r="A368" s="6" t="s">
        <v>459</v>
      </c>
      <c r="B368" s="5">
        <v>0.72</v>
      </c>
    </row>
    <row r="369" spans="1:2" x14ac:dyDescent="0.25">
      <c r="A369" s="6" t="s">
        <v>460</v>
      </c>
      <c r="B369" s="6">
        <v>0.72</v>
      </c>
    </row>
    <row r="370" spans="1:2" x14ac:dyDescent="0.25">
      <c r="A370" s="6" t="s">
        <v>461</v>
      </c>
      <c r="B370" s="6">
        <v>1.88</v>
      </c>
    </row>
    <row r="371" spans="1:2" x14ac:dyDescent="0.25">
      <c r="A371" s="6" t="s">
        <v>462</v>
      </c>
      <c r="B371" s="6">
        <v>1.36</v>
      </c>
    </row>
    <row r="372" spans="1:2" x14ac:dyDescent="0.25">
      <c r="A372" s="6" t="s">
        <v>463</v>
      </c>
      <c r="B372" s="6">
        <v>1</v>
      </c>
    </row>
    <row r="373" spans="1:2" x14ac:dyDescent="0.25">
      <c r="A373" s="6" t="s">
        <v>464</v>
      </c>
      <c r="B373" s="6">
        <v>1.52</v>
      </c>
    </row>
    <row r="374" spans="1:2" x14ac:dyDescent="0.25">
      <c r="A374" s="6" t="s">
        <v>465</v>
      </c>
      <c r="B374" s="6">
        <v>2.72</v>
      </c>
    </row>
    <row r="375" spans="1:2" x14ac:dyDescent="0.25">
      <c r="A375" s="6" t="s">
        <v>466</v>
      </c>
      <c r="B375" s="6">
        <v>1.2</v>
      </c>
    </row>
    <row r="376" spans="1:2" x14ac:dyDescent="0.25">
      <c r="A376" s="6" t="s">
        <v>467</v>
      </c>
      <c r="B376" s="6">
        <v>1.3120000000000001</v>
      </c>
    </row>
    <row r="377" spans="1:2" x14ac:dyDescent="0.25">
      <c r="A377" s="6" t="s">
        <v>468</v>
      </c>
      <c r="B377" s="6">
        <v>1.4</v>
      </c>
    </row>
    <row r="378" spans="1:2" x14ac:dyDescent="0.25">
      <c r="A378" s="6" t="s">
        <v>469</v>
      </c>
      <c r="B378" s="6">
        <v>0.32</v>
      </c>
    </row>
    <row r="379" spans="1:2" x14ac:dyDescent="0.25">
      <c r="A379" s="6" t="s">
        <v>470</v>
      </c>
      <c r="B379" s="6">
        <v>0.52</v>
      </c>
    </row>
    <row r="380" spans="1:2" x14ac:dyDescent="0.25">
      <c r="A380" s="6" t="s">
        <v>471</v>
      </c>
      <c r="B380" s="6">
        <v>0.24</v>
      </c>
    </row>
    <row r="381" spans="1:2" x14ac:dyDescent="0.25">
      <c r="A381" s="6" t="s">
        <v>472</v>
      </c>
      <c r="B381" s="6">
        <v>0.36</v>
      </c>
    </row>
    <row r="382" spans="1:2" x14ac:dyDescent="0.25">
      <c r="A382" s="6" t="s">
        <v>473</v>
      </c>
      <c r="B382" s="6">
        <v>0.72</v>
      </c>
    </row>
    <row r="383" spans="1:2" x14ac:dyDescent="0.25">
      <c r="A383" s="6" t="s">
        <v>474</v>
      </c>
      <c r="B383" s="6">
        <v>0.8</v>
      </c>
    </row>
    <row r="384" spans="1:2" x14ac:dyDescent="0.25">
      <c r="A384" s="6" t="s">
        <v>475</v>
      </c>
      <c r="B384" s="6">
        <v>0.96</v>
      </c>
    </row>
    <row r="385" spans="1:2" x14ac:dyDescent="0.25">
      <c r="A385" s="6" t="s">
        <v>476</v>
      </c>
      <c r="B385" s="6">
        <v>0.45</v>
      </c>
    </row>
    <row r="386" spans="1:2" x14ac:dyDescent="0.25">
      <c r="A386" s="6" t="s">
        <v>477</v>
      </c>
      <c r="B386" s="6">
        <v>0.25600000000000001</v>
      </c>
    </row>
    <row r="387" spans="1:2" x14ac:dyDescent="0.25">
      <c r="A387" s="6" t="s">
        <v>478</v>
      </c>
      <c r="B387" s="6">
        <v>1.2</v>
      </c>
    </row>
    <row r="388" spans="1:2" x14ac:dyDescent="0.25">
      <c r="A388" s="6" t="s">
        <v>479</v>
      </c>
      <c r="B388" s="6">
        <v>0.92</v>
      </c>
    </row>
    <row r="389" spans="1:2" x14ac:dyDescent="0.25">
      <c r="A389" s="6" t="s">
        <v>480</v>
      </c>
      <c r="B389" s="6">
        <v>1.2</v>
      </c>
    </row>
    <row r="390" spans="1:2" x14ac:dyDescent="0.25">
      <c r="A390" s="6" t="s">
        <v>481</v>
      </c>
      <c r="B390" s="6">
        <v>0.79200000000000004</v>
      </c>
    </row>
    <row r="391" spans="1:2" x14ac:dyDescent="0.25">
      <c r="A391" s="6" t="s">
        <v>482</v>
      </c>
      <c r="B391" s="6">
        <v>0.54500000000000004</v>
      </c>
    </row>
    <row r="392" spans="1:2" x14ac:dyDescent="0.25">
      <c r="A392" s="6" t="s">
        <v>483</v>
      </c>
      <c r="B392" s="6">
        <v>0.76</v>
      </c>
    </row>
    <row r="393" spans="1:2" x14ac:dyDescent="0.25">
      <c r="A393" s="6" t="s">
        <v>484</v>
      </c>
      <c r="B393" s="6">
        <v>0.66400000000000003</v>
      </c>
    </row>
    <row r="394" spans="1:2" x14ac:dyDescent="0.25">
      <c r="A394" s="6" t="s">
        <v>485</v>
      </c>
      <c r="B394" s="6">
        <v>0.36799999999999999</v>
      </c>
    </row>
    <row r="395" spans="1:2" x14ac:dyDescent="0.25">
      <c r="A395" s="6" t="s">
        <v>486</v>
      </c>
      <c r="B395" s="6">
        <v>0.30399999999999999</v>
      </c>
    </row>
    <row r="396" spans="1:2" x14ac:dyDescent="0.25">
      <c r="A396" s="6" t="s">
        <v>487</v>
      </c>
      <c r="B396" s="6">
        <v>0.48</v>
      </c>
    </row>
    <row r="397" spans="1:2" x14ac:dyDescent="0.25">
      <c r="A397" s="6" t="s">
        <v>488</v>
      </c>
      <c r="B397" s="6">
        <v>0.64</v>
      </c>
    </row>
    <row r="398" spans="1:2" x14ac:dyDescent="0.25">
      <c r="A398" s="6" t="s">
        <v>489</v>
      </c>
      <c r="B398" s="6">
        <v>0.64</v>
      </c>
    </row>
    <row r="399" spans="1:2" x14ac:dyDescent="0.25">
      <c r="A399" s="6" t="s">
        <v>490</v>
      </c>
      <c r="B399" s="6">
        <v>0.72</v>
      </c>
    </row>
    <row r="400" spans="1:2" x14ac:dyDescent="0.25">
      <c r="A400" s="6" t="s">
        <v>491</v>
      </c>
      <c r="B400" s="6">
        <v>2</v>
      </c>
    </row>
    <row r="401" spans="1:2" x14ac:dyDescent="0.25">
      <c r="A401" s="6" t="s">
        <v>492</v>
      </c>
      <c r="B401" s="6">
        <v>1.8</v>
      </c>
    </row>
    <row r="402" spans="1:2" x14ac:dyDescent="0.25">
      <c r="A402" s="6" t="s">
        <v>493</v>
      </c>
      <c r="B402" s="6">
        <v>1.4</v>
      </c>
    </row>
    <row r="403" spans="1:2" x14ac:dyDescent="0.25">
      <c r="A403" s="6" t="s">
        <v>494</v>
      </c>
      <c r="B403" s="6">
        <v>0.84</v>
      </c>
    </row>
    <row r="404" spans="1:2" x14ac:dyDescent="0.25">
      <c r="A404" s="6" t="s">
        <v>495</v>
      </c>
      <c r="B404" s="6">
        <v>0.88</v>
      </c>
    </row>
    <row r="405" spans="1:2" x14ac:dyDescent="0.25">
      <c r="A405" s="6" t="s">
        <v>496</v>
      </c>
      <c r="B405" s="6">
        <v>0.96</v>
      </c>
    </row>
    <row r="406" spans="1:2" x14ac:dyDescent="0.25">
      <c r="A406" s="6" t="s">
        <v>497</v>
      </c>
      <c r="B406" s="6">
        <v>0.96</v>
      </c>
    </row>
    <row r="407" spans="1:2" x14ac:dyDescent="0.25">
      <c r="A407" s="6" t="s">
        <v>498</v>
      </c>
      <c r="B407" s="6">
        <v>0.26400000000000001</v>
      </c>
    </row>
    <row r="408" spans="1:2" x14ac:dyDescent="0.25">
      <c r="A408" s="6" t="s">
        <v>499</v>
      </c>
      <c r="B408" s="6">
        <v>0.84</v>
      </c>
    </row>
    <row r="409" spans="1:2" x14ac:dyDescent="0.25">
      <c r="A409" s="6" t="s">
        <v>500</v>
      </c>
      <c r="B409" s="6">
        <v>0.20499999999999999</v>
      </c>
    </row>
    <row r="410" spans="1:2" x14ac:dyDescent="0.25">
      <c r="A410" s="6" t="s">
        <v>501</v>
      </c>
      <c r="B410" s="6">
        <v>0.20499999999999999</v>
      </c>
    </row>
    <row r="411" spans="1:2" x14ac:dyDescent="0.25">
      <c r="A411" s="6" t="s">
        <v>502</v>
      </c>
      <c r="B411" s="6">
        <v>0.88</v>
      </c>
    </row>
    <row r="412" spans="1:2" x14ac:dyDescent="0.25">
      <c r="A412" s="6" t="s">
        <v>503</v>
      </c>
      <c r="B412" s="6">
        <v>0.88</v>
      </c>
    </row>
    <row r="413" spans="1:2" x14ac:dyDescent="0.25">
      <c r="A413" s="6" t="s">
        <v>504</v>
      </c>
      <c r="B413" s="6">
        <v>1.32</v>
      </c>
    </row>
    <row r="414" spans="1:2" x14ac:dyDescent="0.25">
      <c r="A414" s="6" t="s">
        <v>505</v>
      </c>
      <c r="B414" s="6">
        <v>1.1200000000000001</v>
      </c>
    </row>
    <row r="415" spans="1:2" x14ac:dyDescent="0.25">
      <c r="A415" s="6" t="s">
        <v>506</v>
      </c>
      <c r="B415" s="6">
        <v>0.92</v>
      </c>
    </row>
    <row r="416" spans="1:2" x14ac:dyDescent="0.25">
      <c r="A416" s="6" t="s">
        <v>507</v>
      </c>
      <c r="B416" s="6">
        <v>0.92</v>
      </c>
    </row>
    <row r="417" spans="1:2" x14ac:dyDescent="0.25">
      <c r="A417" s="6" t="s">
        <v>508</v>
      </c>
      <c r="B417" s="6">
        <v>1.968</v>
      </c>
    </row>
    <row r="418" spans="1:2" x14ac:dyDescent="0.25">
      <c r="A418" s="6" t="s">
        <v>509</v>
      </c>
      <c r="B418" s="6">
        <v>0.8</v>
      </c>
    </row>
    <row r="419" spans="1:2" x14ac:dyDescent="0.25">
      <c r="A419" s="6" t="s">
        <v>510</v>
      </c>
      <c r="B419" s="6">
        <v>1.36</v>
      </c>
    </row>
    <row r="420" spans="1:2" x14ac:dyDescent="0.25">
      <c r="A420" s="6" t="s">
        <v>511</v>
      </c>
      <c r="B420" s="6">
        <v>1.44</v>
      </c>
    </row>
    <row r="421" spans="1:2" x14ac:dyDescent="0.25">
      <c r="A421" s="6" t="s">
        <v>512</v>
      </c>
      <c r="B421" s="6">
        <v>2.64</v>
      </c>
    </row>
    <row r="422" spans="1:2" x14ac:dyDescent="0.25">
      <c r="A422" s="6" t="s">
        <v>513</v>
      </c>
      <c r="B422" s="6">
        <v>0.92800000000000005</v>
      </c>
    </row>
    <row r="423" spans="1:2" x14ac:dyDescent="0.25">
      <c r="A423" s="6" t="s">
        <v>514</v>
      </c>
      <c r="B423" s="6">
        <v>0.57599999999999996</v>
      </c>
    </row>
    <row r="424" spans="1:2" x14ac:dyDescent="0.25">
      <c r="A424" s="6" t="s">
        <v>515</v>
      </c>
      <c r="B424" s="6">
        <v>0.4</v>
      </c>
    </row>
    <row r="425" spans="1:2" x14ac:dyDescent="0.25">
      <c r="A425" s="6" t="s">
        <v>516</v>
      </c>
      <c r="B425" s="6">
        <v>0.88</v>
      </c>
    </row>
    <row r="426" spans="1:2" x14ac:dyDescent="0.25">
      <c r="A426" s="6" t="s">
        <v>517</v>
      </c>
      <c r="B426" s="6">
        <v>1.04</v>
      </c>
    </row>
    <row r="427" spans="1:2" x14ac:dyDescent="0.25">
      <c r="A427" s="6" t="s">
        <v>518</v>
      </c>
      <c r="B427" s="6">
        <v>1.04</v>
      </c>
    </row>
    <row r="428" spans="1:2" x14ac:dyDescent="0.25">
      <c r="A428" s="6" t="s">
        <v>519</v>
      </c>
      <c r="B428" s="6">
        <v>0.20799999999999999</v>
      </c>
    </row>
    <row r="429" spans="1:2" x14ac:dyDescent="0.25">
      <c r="A429" s="6" t="s">
        <v>520</v>
      </c>
      <c r="B429" s="6">
        <v>0.32</v>
      </c>
    </row>
    <row r="430" spans="1:2" x14ac:dyDescent="0.25">
      <c r="A430" s="6" t="s">
        <v>521</v>
      </c>
      <c r="B430" s="6">
        <v>0.48</v>
      </c>
    </row>
    <row r="431" spans="1:2" x14ac:dyDescent="0.25">
      <c r="A431" s="6" t="s">
        <v>522</v>
      </c>
      <c r="B431" s="6">
        <v>0.4</v>
      </c>
    </row>
    <row r="432" spans="1:2" x14ac:dyDescent="0.25">
      <c r="A432" s="6" t="s">
        <v>523</v>
      </c>
      <c r="B432" s="6">
        <v>1.72</v>
      </c>
    </row>
    <row r="433" spans="1:2" x14ac:dyDescent="0.25">
      <c r="A433" s="6" t="s">
        <v>524</v>
      </c>
      <c r="B433" s="6">
        <v>1.52</v>
      </c>
    </row>
    <row r="434" spans="1:2" x14ac:dyDescent="0.25">
      <c r="A434" s="6" t="s">
        <v>525</v>
      </c>
      <c r="B434" s="6">
        <v>1.68</v>
      </c>
    </row>
    <row r="435" spans="1:2" x14ac:dyDescent="0.25">
      <c r="A435" s="6" t="s">
        <v>526</v>
      </c>
      <c r="B435" s="6">
        <v>0.96</v>
      </c>
    </row>
    <row r="436" spans="1:2" x14ac:dyDescent="0.25">
      <c r="A436" s="6" t="s">
        <v>527</v>
      </c>
      <c r="B436" s="6">
        <v>0.96</v>
      </c>
    </row>
    <row r="437" spans="1:2" x14ac:dyDescent="0.25">
      <c r="A437" s="6" t="s">
        <v>528</v>
      </c>
      <c r="B437" s="6">
        <v>0.8</v>
      </c>
    </row>
    <row r="438" spans="1:2" x14ac:dyDescent="0.25">
      <c r="A438" s="6" t="s">
        <v>529</v>
      </c>
      <c r="B438" s="6">
        <v>0.84</v>
      </c>
    </row>
    <row r="439" spans="1:2" x14ac:dyDescent="0.25">
      <c r="A439" s="6" t="s">
        <v>530</v>
      </c>
      <c r="B439" s="6">
        <v>0.4</v>
      </c>
    </row>
    <row r="440" spans="1:2" x14ac:dyDescent="0.25">
      <c r="A440" s="6" t="s">
        <v>531</v>
      </c>
      <c r="B440" s="6">
        <v>0.7</v>
      </c>
    </row>
    <row r="441" spans="1:2" x14ac:dyDescent="0.25">
      <c r="A441" s="6" t="s">
        <v>532</v>
      </c>
      <c r="B441" s="6">
        <v>0.25600000000000001</v>
      </c>
    </row>
    <row r="442" spans="1:2" x14ac:dyDescent="0.25">
      <c r="A442" s="6" t="s">
        <v>533</v>
      </c>
      <c r="B442" s="6">
        <v>1.28</v>
      </c>
    </row>
    <row r="443" spans="1:2" x14ac:dyDescent="0.25">
      <c r="A443" s="6" t="s">
        <v>534</v>
      </c>
      <c r="B443" s="6">
        <v>0.6</v>
      </c>
    </row>
    <row r="444" spans="1:2" x14ac:dyDescent="0.25">
      <c r="A444" s="6" t="s">
        <v>535</v>
      </c>
      <c r="B444" s="6">
        <v>0.74399999999999999</v>
      </c>
    </row>
    <row r="445" spans="1:2" x14ac:dyDescent="0.25">
      <c r="A445" s="6" t="s">
        <v>536</v>
      </c>
      <c r="B445" s="6">
        <v>0.68</v>
      </c>
    </row>
    <row r="446" spans="1:2" x14ac:dyDescent="0.25">
      <c r="A446" t="s">
        <v>537</v>
      </c>
      <c r="B446">
        <v>0.44800000000000001</v>
      </c>
    </row>
    <row r="447" spans="1:2" x14ac:dyDescent="0.25">
      <c r="A447" t="s">
        <v>538</v>
      </c>
      <c r="B447">
        <v>0.30499999999999999</v>
      </c>
    </row>
    <row r="448" spans="1:2" x14ac:dyDescent="0.25">
      <c r="A448" t="s">
        <v>539</v>
      </c>
      <c r="B448">
        <v>0.41599999999999998</v>
      </c>
    </row>
    <row r="449" spans="1:2" x14ac:dyDescent="0.25">
      <c r="A449" t="s">
        <v>540</v>
      </c>
      <c r="B449">
        <v>0.184</v>
      </c>
    </row>
    <row r="450" spans="1:2" x14ac:dyDescent="0.25">
      <c r="A450" t="s">
        <v>541</v>
      </c>
      <c r="B450">
        <v>3.2</v>
      </c>
    </row>
    <row r="451" spans="1:2" x14ac:dyDescent="0.25">
      <c r="A451" t="s">
        <v>542</v>
      </c>
      <c r="B451">
        <v>1.24</v>
      </c>
    </row>
    <row r="452" spans="1:2" x14ac:dyDescent="0.25">
      <c r="A452" t="s">
        <v>543</v>
      </c>
      <c r="B452">
        <v>2.56</v>
      </c>
    </row>
    <row r="453" spans="1:2" x14ac:dyDescent="0.25">
      <c r="A453" t="s">
        <v>544</v>
      </c>
      <c r="B453">
        <v>1.76</v>
      </c>
    </row>
    <row r="454" spans="1:2" x14ac:dyDescent="0.25">
      <c r="A454" t="s">
        <v>545</v>
      </c>
      <c r="B454">
        <v>0.52</v>
      </c>
    </row>
    <row r="455" spans="1:2" x14ac:dyDescent="0.25">
      <c r="A455" t="s">
        <v>546</v>
      </c>
      <c r="B455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8F19-91E6-488A-B8C9-3FFD1EE43587}">
  <dimension ref="A1:L54"/>
  <sheetViews>
    <sheetView workbookViewId="0">
      <selection activeCell="D14" sqref="D14"/>
    </sheetView>
  </sheetViews>
  <sheetFormatPr defaultRowHeight="14" x14ac:dyDescent="0.3"/>
  <cols>
    <col min="1" max="1" width="15.6328125" style="45" customWidth="1"/>
    <col min="2" max="2" width="15.81640625" style="45" customWidth="1"/>
    <col min="3" max="8" width="8.7265625" style="45"/>
    <col min="9" max="9" width="14.08984375" style="45" customWidth="1"/>
    <col min="10" max="10" width="18.08984375" style="45" customWidth="1"/>
    <col min="11" max="11" width="8.90625" style="45" bestFit="1" customWidth="1"/>
    <col min="12" max="16384" width="8.7265625" style="45"/>
  </cols>
  <sheetData>
    <row r="1" spans="1:12" x14ac:dyDescent="0.3">
      <c r="A1" s="45" t="s">
        <v>614</v>
      </c>
      <c r="B1" s="46" t="s">
        <v>618</v>
      </c>
      <c r="C1" s="70" t="s">
        <v>615</v>
      </c>
      <c r="D1" s="71"/>
      <c r="E1" s="71"/>
      <c r="F1" s="71"/>
      <c r="G1" s="71"/>
      <c r="H1" s="71"/>
      <c r="I1" s="46"/>
    </row>
    <row r="2" spans="1:12" x14ac:dyDescent="0.3">
      <c r="C2" s="45">
        <v>20</v>
      </c>
      <c r="D2" s="45">
        <v>25</v>
      </c>
      <c r="E2" s="45">
        <v>30</v>
      </c>
      <c r="F2" s="45">
        <v>35</v>
      </c>
      <c r="G2" s="45">
        <v>40</v>
      </c>
      <c r="H2" s="45">
        <v>45</v>
      </c>
      <c r="I2" s="46"/>
      <c r="J2" s="45" t="s">
        <v>559</v>
      </c>
      <c r="K2" s="45">
        <f>'Belt Conveyor Motor Power'!D13</f>
        <v>800</v>
      </c>
    </row>
    <row r="3" spans="1:12" x14ac:dyDescent="0.3">
      <c r="A3" s="45">
        <v>500</v>
      </c>
      <c r="B3" s="45">
        <v>0</v>
      </c>
      <c r="C3" s="45">
        <v>9.7999999999999997E-3</v>
      </c>
      <c r="D3" s="45">
        <v>1.2E-2</v>
      </c>
      <c r="E3" s="45">
        <v>1.3899999999999999E-2</v>
      </c>
      <c r="F3" s="45">
        <v>1.5699999999999999E-2</v>
      </c>
      <c r="G3" s="45">
        <v>1.7299999999999999E-2</v>
      </c>
      <c r="H3" s="45">
        <v>1.8599999999999998E-2</v>
      </c>
      <c r="J3" s="45" t="s">
        <v>615</v>
      </c>
      <c r="K3" s="45">
        <f>'Belt Conveyor Motor Power'!D14</f>
        <v>25</v>
      </c>
    </row>
    <row r="4" spans="1:12" x14ac:dyDescent="0.3">
      <c r="A4" s="45">
        <v>500</v>
      </c>
      <c r="B4" s="45">
        <v>10</v>
      </c>
      <c r="C4" s="45">
        <v>1.4200000000000001E-2</v>
      </c>
      <c r="D4" s="45">
        <v>1.6199999999999999E-2</v>
      </c>
      <c r="E4" s="45">
        <v>1.7999999999999999E-2</v>
      </c>
      <c r="F4" s="45">
        <v>1.9599999999999999E-2</v>
      </c>
      <c r="G4" s="45">
        <v>2.1000000000000001E-2</v>
      </c>
      <c r="H4" s="45">
        <v>2.1999999999999999E-2</v>
      </c>
      <c r="J4" s="45" t="s">
        <v>616</v>
      </c>
      <c r="K4" s="45">
        <f>'Belt Conveyor Motor Power'!D15</f>
        <v>30</v>
      </c>
    </row>
    <row r="5" spans="1:12" x14ac:dyDescent="0.3">
      <c r="A5" s="45">
        <v>500</v>
      </c>
      <c r="B5" s="45">
        <v>20</v>
      </c>
      <c r="C5" s="45">
        <v>1.8700000000000001E-2</v>
      </c>
      <c r="D5" s="45">
        <v>2.06E-2</v>
      </c>
      <c r="E5" s="45">
        <v>2.2200000000000001E-2</v>
      </c>
      <c r="F5" s="45">
        <v>2.3599999999999999E-2</v>
      </c>
      <c r="G5" s="45">
        <v>2.47E-2</v>
      </c>
      <c r="H5" s="45">
        <v>2.5600000000000001E-2</v>
      </c>
    </row>
    <row r="6" spans="1:12" x14ac:dyDescent="0.3">
      <c r="A6" s="45">
        <v>500</v>
      </c>
      <c r="B6" s="45">
        <v>30</v>
      </c>
      <c r="C6" s="45">
        <v>2.3400000000000001E-2</v>
      </c>
      <c r="D6" s="45">
        <v>2.52E-2</v>
      </c>
      <c r="E6" s="45">
        <v>2.6599999999999999E-2</v>
      </c>
      <c r="F6" s="45">
        <v>2.7799999999999998E-2</v>
      </c>
      <c r="G6" s="45">
        <v>2.87E-2</v>
      </c>
      <c r="H6" s="45">
        <v>2.93E-2</v>
      </c>
    </row>
    <row r="7" spans="1:12" x14ac:dyDescent="0.3">
      <c r="A7" s="45">
        <v>650</v>
      </c>
      <c r="B7" s="45">
        <v>0</v>
      </c>
      <c r="C7" s="45">
        <v>1.84E-2</v>
      </c>
      <c r="D7" s="45">
        <v>2.24E-2</v>
      </c>
      <c r="E7" s="45">
        <v>2.5999999999999999E-2</v>
      </c>
      <c r="F7" s="45">
        <v>2.9399999999999999E-2</v>
      </c>
      <c r="G7" s="45">
        <v>3.2199999999999999E-2</v>
      </c>
      <c r="H7" s="45">
        <v>3.4700000000000002E-2</v>
      </c>
      <c r="J7" s="46" t="s">
        <v>619</v>
      </c>
      <c r="K7" s="45" cm="1">
        <f t="array" ref="K7">INDEX($C$3:$H$54,MATCH(1,($A$2:$A$54=K2)*($B$2:$B$54=K4),0),MATCH(K3,$C$2:$H$2,0))</f>
        <v>5.8200000000000002E-2</v>
      </c>
      <c r="L7" s="46" t="s">
        <v>552</v>
      </c>
    </row>
    <row r="8" spans="1:12" x14ac:dyDescent="0.3">
      <c r="A8" s="45">
        <v>650</v>
      </c>
      <c r="B8" s="45">
        <v>10</v>
      </c>
      <c r="C8" s="45">
        <v>2.6200000000000001E-2</v>
      </c>
      <c r="D8" s="45">
        <v>2.9899999999999999E-2</v>
      </c>
      <c r="E8" s="45">
        <v>3.32E-2</v>
      </c>
      <c r="F8" s="45">
        <v>3.6200000000000003E-2</v>
      </c>
      <c r="G8" s="45">
        <v>3.8600000000000002E-2</v>
      </c>
      <c r="H8" s="45">
        <v>4.07E-2</v>
      </c>
    </row>
    <row r="9" spans="1:12" x14ac:dyDescent="0.3">
      <c r="A9" s="45">
        <v>650</v>
      </c>
      <c r="B9" s="45">
        <v>20</v>
      </c>
      <c r="C9" s="45">
        <v>3.4200000000000001E-2</v>
      </c>
      <c r="D9" s="45">
        <v>3.7699999999999997E-2</v>
      </c>
      <c r="E9" s="45">
        <v>4.0599999999999997E-2</v>
      </c>
      <c r="F9" s="45">
        <v>4.3299999999999998E-2</v>
      </c>
      <c r="G9" s="45">
        <v>4.53E-2</v>
      </c>
      <c r="H9" s="45">
        <v>4.6899999999999997E-2</v>
      </c>
    </row>
    <row r="10" spans="1:12" x14ac:dyDescent="0.3">
      <c r="A10" s="45">
        <v>650</v>
      </c>
      <c r="B10" s="45">
        <v>30</v>
      </c>
      <c r="C10" s="45">
        <v>4.2700000000000002E-2</v>
      </c>
      <c r="D10" s="45">
        <v>4.5900000000000003E-2</v>
      </c>
      <c r="E10" s="45">
        <v>4.8399999999999999E-2</v>
      </c>
      <c r="F10" s="45">
        <v>5.0700000000000002E-2</v>
      </c>
      <c r="G10" s="45">
        <v>5.2299999999999999E-2</v>
      </c>
      <c r="H10" s="45">
        <v>5.3400000000000003E-2</v>
      </c>
    </row>
    <row r="11" spans="1:12" x14ac:dyDescent="0.3">
      <c r="A11" s="45">
        <v>800</v>
      </c>
      <c r="B11" s="45">
        <v>0</v>
      </c>
      <c r="C11" s="45">
        <v>2.7900000000000001E-2</v>
      </c>
      <c r="D11" s="45">
        <v>3.44E-2</v>
      </c>
      <c r="E11" s="45">
        <v>4.02E-2</v>
      </c>
      <c r="F11" s="45">
        <v>4.5400000000000003E-2</v>
      </c>
      <c r="G11" s="45">
        <v>0.05</v>
      </c>
      <c r="H11" s="45">
        <v>5.3999999999999999E-2</v>
      </c>
    </row>
    <row r="12" spans="1:12" x14ac:dyDescent="0.3">
      <c r="A12" s="45">
        <v>800</v>
      </c>
      <c r="B12" s="45">
        <v>10</v>
      </c>
      <c r="C12" s="45">
        <v>4.0500000000000001E-2</v>
      </c>
      <c r="D12" s="45">
        <v>4.6600000000000003E-2</v>
      </c>
      <c r="E12" s="45">
        <v>5.1799999999999999E-2</v>
      </c>
      <c r="F12" s="45">
        <v>5.6399999999999999E-2</v>
      </c>
      <c r="G12" s="45">
        <v>6.0299999999999999E-2</v>
      </c>
      <c r="H12" s="45">
        <v>6.3600000000000004E-2</v>
      </c>
    </row>
    <row r="13" spans="1:12" x14ac:dyDescent="0.3">
      <c r="A13" s="45">
        <v>800</v>
      </c>
      <c r="B13" s="45">
        <v>20</v>
      </c>
      <c r="C13" s="45">
        <v>5.3499999999999999E-2</v>
      </c>
      <c r="D13" s="45">
        <v>5.91E-2</v>
      </c>
      <c r="E13" s="45">
        <v>6.3799999999999996E-2</v>
      </c>
      <c r="F13" s="45">
        <v>6.7799999999999999E-2</v>
      </c>
      <c r="G13" s="45">
        <v>7.0699999999999999E-2</v>
      </c>
      <c r="H13" s="45">
        <v>7.3599999999999999E-2</v>
      </c>
    </row>
    <row r="14" spans="1:12" x14ac:dyDescent="0.3">
      <c r="A14" s="45">
        <v>800</v>
      </c>
      <c r="B14" s="45">
        <v>30</v>
      </c>
      <c r="C14" s="45">
        <v>6.7100000000000007E-2</v>
      </c>
      <c r="D14" s="45">
        <v>7.22E-2</v>
      </c>
      <c r="E14" s="45">
        <v>7.6300000000000007E-2</v>
      </c>
      <c r="F14" s="45">
        <v>7.9799999999999996E-2</v>
      </c>
      <c r="G14" s="45">
        <v>8.2199999999999995E-2</v>
      </c>
      <c r="H14" s="45">
        <v>8.4000000000000005E-2</v>
      </c>
    </row>
    <row r="15" spans="1:12" x14ac:dyDescent="0.3">
      <c r="A15" s="45">
        <v>1000</v>
      </c>
      <c r="B15" s="45">
        <v>0</v>
      </c>
      <c r="C15" s="45">
        <v>4.7800000000000002E-2</v>
      </c>
      <c r="D15" s="45">
        <v>5.8200000000000002E-2</v>
      </c>
      <c r="E15" s="45">
        <v>6.7699999999999996E-2</v>
      </c>
      <c r="F15" s="45">
        <v>7.6300000000000007E-2</v>
      </c>
      <c r="G15" s="45">
        <v>8.3799999999999999E-2</v>
      </c>
      <c r="H15" s="45">
        <v>8.9800000000000005E-2</v>
      </c>
    </row>
    <row r="16" spans="1:12" x14ac:dyDescent="0.3">
      <c r="A16" s="45">
        <v>1000</v>
      </c>
      <c r="B16" s="45">
        <v>10</v>
      </c>
      <c r="C16" s="45">
        <v>6.7400000000000002E-2</v>
      </c>
      <c r="D16" s="45">
        <v>7.7100000000000002E-2</v>
      </c>
      <c r="E16" s="45">
        <v>8.5699999999999998E-2</v>
      </c>
      <c r="F16" s="45">
        <v>9.3299999999999994E-2</v>
      </c>
      <c r="G16" s="45">
        <v>9.98E-2</v>
      </c>
      <c r="H16" s="45">
        <v>0.105</v>
      </c>
    </row>
    <row r="17" spans="1:8" x14ac:dyDescent="0.3">
      <c r="A17" s="45">
        <v>1000</v>
      </c>
      <c r="B17" s="45">
        <v>20</v>
      </c>
      <c r="C17" s="45">
        <v>8.7599999999999997E-2</v>
      </c>
      <c r="D17" s="45">
        <v>9.6600000000000005E-2</v>
      </c>
      <c r="E17" s="45">
        <v>0.104</v>
      </c>
      <c r="F17" s="45">
        <v>0.111</v>
      </c>
      <c r="G17" s="45">
        <v>0.11600000000000001</v>
      </c>
      <c r="H17" s="45">
        <v>0.12</v>
      </c>
    </row>
    <row r="18" spans="1:8" x14ac:dyDescent="0.3">
      <c r="A18" s="45">
        <v>1000</v>
      </c>
      <c r="B18" s="45">
        <v>30</v>
      </c>
      <c r="C18" s="45">
        <v>0.109</v>
      </c>
      <c r="D18" s="45">
        <v>0.11700000000000001</v>
      </c>
      <c r="E18" s="45">
        <v>0.13400000000000001</v>
      </c>
      <c r="F18" s="45">
        <v>0.129</v>
      </c>
      <c r="G18" s="45">
        <v>0.13400000000000001</v>
      </c>
      <c r="H18" s="45">
        <v>0.13600000000000001</v>
      </c>
    </row>
    <row r="19" spans="1:8" x14ac:dyDescent="0.3">
      <c r="A19" s="45">
        <v>1200</v>
      </c>
      <c r="B19" s="45">
        <v>0</v>
      </c>
      <c r="C19" s="45">
        <v>7.0000000000000007E-2</v>
      </c>
      <c r="D19" s="45">
        <v>8.5000000000000006E-2</v>
      </c>
      <c r="E19" s="45">
        <v>9.9000000000000005E-2</v>
      </c>
      <c r="F19" s="45">
        <v>0.112</v>
      </c>
      <c r="G19" s="45">
        <v>0.123</v>
      </c>
      <c r="H19" s="45">
        <v>0.13200000000000001</v>
      </c>
    </row>
    <row r="20" spans="1:8" x14ac:dyDescent="0.3">
      <c r="A20" s="45">
        <v>1200</v>
      </c>
      <c r="B20" s="45">
        <v>10</v>
      </c>
      <c r="C20" s="45">
        <v>9.8799999999999999E-2</v>
      </c>
      <c r="D20" s="45">
        <v>0.113</v>
      </c>
      <c r="E20" s="45">
        <v>0.126</v>
      </c>
      <c r="F20" s="45">
        <v>0.13700000000000001</v>
      </c>
      <c r="G20" s="45">
        <v>0.14599999999999999</v>
      </c>
      <c r="H20" s="45">
        <v>0.154</v>
      </c>
    </row>
    <row r="21" spans="1:8" x14ac:dyDescent="0.3">
      <c r="A21" s="45">
        <v>1200</v>
      </c>
      <c r="B21" s="45">
        <v>20</v>
      </c>
      <c r="C21" s="45">
        <v>0.129</v>
      </c>
      <c r="D21" s="45">
        <v>0.14199999999999999</v>
      </c>
      <c r="E21" s="45">
        <v>0.153</v>
      </c>
      <c r="F21" s="45">
        <v>0.16300000000000001</v>
      </c>
      <c r="G21" s="45">
        <v>0.17100000000000001</v>
      </c>
      <c r="H21" s="45">
        <v>0.17599999999999999</v>
      </c>
    </row>
    <row r="22" spans="1:8" x14ac:dyDescent="0.3">
      <c r="A22" s="45">
        <v>1200</v>
      </c>
      <c r="B22" s="45">
        <v>30</v>
      </c>
      <c r="C22" s="45">
        <v>0.16</v>
      </c>
      <c r="D22" s="45">
        <v>0.17199999999999999</v>
      </c>
      <c r="E22" s="45">
        <v>0.182</v>
      </c>
      <c r="F22" s="45">
        <v>0.19</v>
      </c>
      <c r="G22" s="45">
        <v>0.19600000000000001</v>
      </c>
      <c r="H22" s="45">
        <v>0.2</v>
      </c>
    </row>
    <row r="23" spans="1:8" x14ac:dyDescent="0.3">
      <c r="A23" s="45">
        <v>1400</v>
      </c>
      <c r="B23" s="45">
        <v>0</v>
      </c>
      <c r="C23" s="45">
        <v>9.8000000000000004E-2</v>
      </c>
      <c r="D23" s="45">
        <v>0.12</v>
      </c>
      <c r="E23" s="45">
        <v>0.13900000000000001</v>
      </c>
      <c r="F23" s="45">
        <v>0.157</v>
      </c>
      <c r="G23" s="45">
        <v>0.17100000000000001</v>
      </c>
      <c r="H23" s="45">
        <v>0.184</v>
      </c>
    </row>
    <row r="24" spans="1:8" x14ac:dyDescent="0.3">
      <c r="A24" s="45">
        <v>1400</v>
      </c>
      <c r="B24" s="45">
        <v>10</v>
      </c>
      <c r="C24" s="45">
        <v>0.13800000000000001</v>
      </c>
      <c r="D24" s="45">
        <v>0.158</v>
      </c>
      <c r="E24" s="45">
        <v>0.17499999999999999</v>
      </c>
      <c r="F24" s="45">
        <v>0.191</v>
      </c>
      <c r="G24" s="45">
        <v>0.20399999999999999</v>
      </c>
      <c r="H24" s="45">
        <v>0.214</v>
      </c>
    </row>
    <row r="25" spans="1:8" x14ac:dyDescent="0.3">
      <c r="A25" s="45">
        <v>1400</v>
      </c>
      <c r="B25" s="45">
        <v>20</v>
      </c>
      <c r="C25" s="45">
        <v>0.17899999999999999</v>
      </c>
      <c r="D25" s="45">
        <v>0.19700000000000001</v>
      </c>
      <c r="E25" s="45">
        <v>0.21299999999999999</v>
      </c>
      <c r="F25" s="45">
        <v>0.22</v>
      </c>
      <c r="G25" s="45">
        <v>0.23699999999999999</v>
      </c>
      <c r="H25" s="45">
        <v>0.245</v>
      </c>
    </row>
    <row r="26" spans="1:8" x14ac:dyDescent="0.3">
      <c r="A26" s="45">
        <v>1400</v>
      </c>
      <c r="B26" s="45">
        <v>30</v>
      </c>
      <c r="C26" s="45">
        <v>0.221</v>
      </c>
      <c r="D26" s="45">
        <v>0.23799999999999999</v>
      </c>
      <c r="E26" s="45">
        <v>0.253</v>
      </c>
      <c r="F26" s="45">
        <v>0.26400000000000001</v>
      </c>
      <c r="G26" s="45">
        <v>0.27200000000000002</v>
      </c>
      <c r="H26" s="45">
        <v>0.27700000000000002</v>
      </c>
    </row>
    <row r="27" spans="1:8" x14ac:dyDescent="0.3">
      <c r="A27" s="45">
        <v>1600</v>
      </c>
      <c r="B27" s="45">
        <v>0</v>
      </c>
      <c r="C27" s="45">
        <v>0.13</v>
      </c>
      <c r="D27" s="45">
        <v>0.159</v>
      </c>
      <c r="E27" s="45">
        <v>0.185</v>
      </c>
      <c r="F27" s="45">
        <v>0.20799999999999999</v>
      </c>
      <c r="G27" s="45">
        <v>0.22800000000000001</v>
      </c>
      <c r="H27" s="45">
        <v>0.24399999999999999</v>
      </c>
    </row>
    <row r="28" spans="1:8" x14ac:dyDescent="0.3">
      <c r="A28" s="45">
        <v>1600</v>
      </c>
      <c r="B28" s="45">
        <v>10</v>
      </c>
      <c r="C28" s="45">
        <v>0.182</v>
      </c>
      <c r="D28" s="45">
        <v>0.20899999999999999</v>
      </c>
      <c r="E28" s="45">
        <v>0.23300000000000001</v>
      </c>
      <c r="F28" s="45">
        <v>0.253</v>
      </c>
      <c r="G28" s="45">
        <v>0.27</v>
      </c>
      <c r="H28" s="45">
        <v>0.28299999999999997</v>
      </c>
    </row>
    <row r="29" spans="1:8" x14ac:dyDescent="0.3">
      <c r="A29" s="45">
        <v>1600</v>
      </c>
      <c r="B29" s="45">
        <v>20</v>
      </c>
      <c r="C29" s="45">
        <v>0.23599999999999999</v>
      </c>
      <c r="D29" s="45">
        <v>0.26100000000000001</v>
      </c>
      <c r="E29" s="45">
        <v>0.28199999999999997</v>
      </c>
      <c r="F29" s="45">
        <v>0.3</v>
      </c>
      <c r="G29" s="45">
        <v>0.314</v>
      </c>
      <c r="H29" s="45">
        <v>0.32400000000000001</v>
      </c>
    </row>
    <row r="30" spans="1:8" x14ac:dyDescent="0.3">
      <c r="A30" s="45">
        <v>1600</v>
      </c>
      <c r="B30" s="45">
        <v>30</v>
      </c>
      <c r="C30" s="45">
        <v>0.29299999999999998</v>
      </c>
      <c r="D30" s="45">
        <v>0.315</v>
      </c>
      <c r="E30" s="45">
        <v>0.33400000000000002</v>
      </c>
      <c r="F30" s="45">
        <v>0.34899999999999998</v>
      </c>
      <c r="G30" s="45">
        <v>0.36</v>
      </c>
      <c r="H30" s="45">
        <v>0.36599999999999999</v>
      </c>
    </row>
    <row r="31" spans="1:8" x14ac:dyDescent="0.3">
      <c r="A31" s="45">
        <v>1800</v>
      </c>
      <c r="B31" s="45">
        <v>0</v>
      </c>
      <c r="C31" s="45">
        <v>0.16700000000000001</v>
      </c>
      <c r="D31" s="45">
        <v>0.20300000000000001</v>
      </c>
      <c r="E31" s="45">
        <v>0.23699999999999999</v>
      </c>
      <c r="F31" s="45">
        <v>0.26600000000000001</v>
      </c>
      <c r="G31" s="45">
        <v>0.29199999999999998</v>
      </c>
      <c r="H31" s="45">
        <v>0.313</v>
      </c>
    </row>
    <row r="32" spans="1:8" x14ac:dyDescent="0.3">
      <c r="A32" s="45">
        <v>1800</v>
      </c>
      <c r="B32" s="45">
        <v>10</v>
      </c>
      <c r="C32" s="45">
        <v>0.23300000000000001</v>
      </c>
      <c r="D32" s="45">
        <v>0.26800000000000002</v>
      </c>
      <c r="E32" s="45">
        <v>0.29799999999999999</v>
      </c>
      <c r="F32" s="45">
        <v>0.32400000000000001</v>
      </c>
      <c r="G32" s="45">
        <v>0.34599999999999997</v>
      </c>
      <c r="H32" s="45">
        <v>0.36299999999999999</v>
      </c>
    </row>
    <row r="33" spans="1:8" x14ac:dyDescent="0.3">
      <c r="A33" s="45">
        <v>1800</v>
      </c>
      <c r="B33" s="45">
        <v>20</v>
      </c>
      <c r="C33" s="45">
        <v>0.30199999999999999</v>
      </c>
      <c r="D33" s="45">
        <v>0.34300000000000003</v>
      </c>
      <c r="E33" s="45">
        <v>0.36099999999999999</v>
      </c>
      <c r="F33" s="45">
        <v>0.38400000000000001</v>
      </c>
      <c r="G33" s="45">
        <v>0.40100000000000002</v>
      </c>
      <c r="H33" s="45">
        <v>0.41399999999999998</v>
      </c>
    </row>
    <row r="34" spans="1:8" x14ac:dyDescent="0.3">
      <c r="A34" s="45">
        <v>1800</v>
      </c>
      <c r="B34" s="45">
        <v>30</v>
      </c>
      <c r="C34" s="45">
        <v>0.374</v>
      </c>
      <c r="D34" s="45">
        <v>0.40300000000000002</v>
      </c>
      <c r="E34" s="45">
        <v>0.42699999999999999</v>
      </c>
      <c r="F34" s="45">
        <v>0.44600000000000001</v>
      </c>
      <c r="G34" s="45">
        <v>0.46</v>
      </c>
      <c r="H34" s="45">
        <v>0.46800000000000003</v>
      </c>
    </row>
    <row r="35" spans="1:8" x14ac:dyDescent="0.3">
      <c r="A35" s="45">
        <v>2000</v>
      </c>
      <c r="B35" s="45">
        <v>0</v>
      </c>
      <c r="C35" s="45">
        <v>0.20699999999999999</v>
      </c>
      <c r="D35" s="45">
        <v>0.253</v>
      </c>
      <c r="E35" s="45">
        <v>0.29399999999999998</v>
      </c>
      <c r="F35" s="45">
        <v>0.33100000000000002</v>
      </c>
      <c r="G35" s="45">
        <v>0.36199999999999999</v>
      </c>
      <c r="H35" s="45">
        <v>0.38800000000000001</v>
      </c>
    </row>
    <row r="36" spans="1:8" x14ac:dyDescent="0.3">
      <c r="A36" s="45">
        <v>2000</v>
      </c>
      <c r="B36" s="45">
        <v>10</v>
      </c>
      <c r="C36" s="45">
        <v>0.28999999999999998</v>
      </c>
      <c r="D36" s="45">
        <v>0.33200000000000002</v>
      </c>
      <c r="E36" s="45">
        <v>0.37</v>
      </c>
      <c r="F36" s="45">
        <v>0.40300000000000002</v>
      </c>
      <c r="G36" s="45">
        <v>0.42899999999999999</v>
      </c>
      <c r="H36" s="45">
        <v>0.45</v>
      </c>
    </row>
    <row r="37" spans="1:8" x14ac:dyDescent="0.3">
      <c r="A37" s="45">
        <v>2000</v>
      </c>
      <c r="B37" s="45">
        <v>20</v>
      </c>
      <c r="C37" s="45">
        <v>0.376</v>
      </c>
      <c r="D37" s="45">
        <v>0.41499999999999998</v>
      </c>
      <c r="E37" s="45">
        <v>0.44800000000000001</v>
      </c>
      <c r="F37" s="45">
        <v>0.47599999999999998</v>
      </c>
      <c r="G37" s="45">
        <v>0.49</v>
      </c>
      <c r="H37" s="45">
        <v>0.51400000000000001</v>
      </c>
    </row>
    <row r="38" spans="1:8" x14ac:dyDescent="0.3">
      <c r="A38" s="45">
        <v>2000</v>
      </c>
      <c r="B38" s="45">
        <v>30</v>
      </c>
      <c r="C38" s="45">
        <v>0.46500000000000002</v>
      </c>
      <c r="D38" s="45">
        <v>0.501</v>
      </c>
      <c r="E38" s="45">
        <v>0.53</v>
      </c>
      <c r="F38" s="45">
        <v>0.55400000000000005</v>
      </c>
      <c r="G38" s="45">
        <v>0.57099999999999995</v>
      </c>
      <c r="H38" s="45">
        <v>0.58099999999999996</v>
      </c>
    </row>
    <row r="39" spans="1:8" x14ac:dyDescent="0.3">
      <c r="A39" s="45">
        <v>2200</v>
      </c>
      <c r="B39" s="45">
        <v>0</v>
      </c>
      <c r="C39" s="45">
        <v>0.25700000000000001</v>
      </c>
      <c r="D39" s="45">
        <v>0.311</v>
      </c>
      <c r="E39" s="45">
        <v>0.36299999999999999</v>
      </c>
      <c r="F39" s="45">
        <v>0.40799999999999997</v>
      </c>
      <c r="G39" s="45">
        <v>0.44600000000000001</v>
      </c>
      <c r="H39" s="45">
        <v>0.47799999999999998</v>
      </c>
    </row>
    <row r="40" spans="1:8" x14ac:dyDescent="0.3">
      <c r="A40" s="45">
        <v>2200</v>
      </c>
      <c r="B40" s="45">
        <v>10</v>
      </c>
      <c r="C40" s="45">
        <v>0.35699999999999998</v>
      </c>
      <c r="D40" s="45">
        <v>0.40799999999999997</v>
      </c>
      <c r="E40" s="45">
        <v>0.45500000000000002</v>
      </c>
      <c r="F40" s="45">
        <v>0.49399999999999999</v>
      </c>
      <c r="G40" s="45">
        <v>0.52700000000000002</v>
      </c>
      <c r="H40" s="45">
        <v>0.55200000000000005</v>
      </c>
    </row>
    <row r="41" spans="1:8" x14ac:dyDescent="0.3">
      <c r="A41" s="45">
        <v>2200</v>
      </c>
      <c r="B41" s="45">
        <v>20</v>
      </c>
      <c r="C41" s="45">
        <v>0.46100000000000002</v>
      </c>
      <c r="D41" s="45">
        <v>0.50800000000000001</v>
      </c>
      <c r="E41" s="45">
        <v>0.54900000000000004</v>
      </c>
      <c r="F41" s="45">
        <v>0.58399999999999996</v>
      </c>
      <c r="G41" s="45">
        <v>0.61</v>
      </c>
      <c r="H41" s="45">
        <v>0.629</v>
      </c>
    </row>
    <row r="42" spans="1:8" x14ac:dyDescent="0.3">
      <c r="A42" s="45">
        <v>2200</v>
      </c>
      <c r="B42" s="45">
        <v>30</v>
      </c>
      <c r="C42" s="45">
        <v>0.56899999999999995</v>
      </c>
      <c r="D42" s="45">
        <v>0.61299999999999999</v>
      </c>
      <c r="E42" s="45">
        <v>0.64900000000000002</v>
      </c>
      <c r="F42" s="45">
        <v>0.67700000000000005</v>
      </c>
      <c r="G42" s="45">
        <v>0.69699999999999995</v>
      </c>
      <c r="H42" s="45">
        <v>0.71</v>
      </c>
    </row>
    <row r="43" spans="1:8" x14ac:dyDescent="0.3">
      <c r="A43" s="45">
        <v>2400</v>
      </c>
      <c r="B43" s="45">
        <v>0</v>
      </c>
      <c r="C43" s="45">
        <v>0.30299999999999999</v>
      </c>
      <c r="D43" s="45">
        <v>0.36799999999999999</v>
      </c>
      <c r="E43" s="45">
        <v>0.42799999999999999</v>
      </c>
      <c r="F43" s="45">
        <v>0.48199999999999998</v>
      </c>
      <c r="G43" s="45">
        <v>0.52800000000000002</v>
      </c>
      <c r="H43" s="45">
        <v>0.56599999999999995</v>
      </c>
    </row>
    <row r="44" spans="1:8" x14ac:dyDescent="0.3">
      <c r="A44" s="45">
        <v>2400</v>
      </c>
      <c r="B44" s="45">
        <v>10</v>
      </c>
      <c r="C44" s="45">
        <v>0.42299999999999999</v>
      </c>
      <c r="D44" s="45">
        <v>0.48399999999999999</v>
      </c>
      <c r="E44" s="45">
        <v>0.53900000000000003</v>
      </c>
      <c r="F44" s="45">
        <v>0.58599999999999997</v>
      </c>
      <c r="G44" s="45">
        <v>0.625</v>
      </c>
      <c r="H44" s="45">
        <v>0.65600000000000003</v>
      </c>
    </row>
    <row r="45" spans="1:8" x14ac:dyDescent="0.3">
      <c r="A45" s="45">
        <v>2400</v>
      </c>
      <c r="B45" s="45">
        <v>20</v>
      </c>
      <c r="C45" s="45">
        <v>0.54700000000000004</v>
      </c>
      <c r="D45" s="45">
        <v>0.60399999999999998</v>
      </c>
      <c r="E45" s="45">
        <v>0.63300000000000001</v>
      </c>
      <c r="F45" s="45">
        <v>0.69399999999999995</v>
      </c>
      <c r="G45" s="45">
        <v>0.72499999999999998</v>
      </c>
      <c r="H45" s="45">
        <v>0.748</v>
      </c>
    </row>
    <row r="46" spans="1:8" x14ac:dyDescent="0.3">
      <c r="A46" s="45">
        <v>2400</v>
      </c>
      <c r="B46" s="45">
        <v>30</v>
      </c>
      <c r="C46" s="45">
        <v>0.67700000000000005</v>
      </c>
      <c r="D46" s="45">
        <v>0.72899999999999998</v>
      </c>
      <c r="E46" s="45">
        <v>0.77200000000000002</v>
      </c>
      <c r="F46" s="45">
        <v>0.80600000000000005</v>
      </c>
      <c r="G46" s="45">
        <v>0.83</v>
      </c>
      <c r="H46" s="45">
        <v>0.84499999999999997</v>
      </c>
    </row>
    <row r="47" spans="1:8" x14ac:dyDescent="0.3">
      <c r="A47" s="45">
        <v>2600</v>
      </c>
      <c r="B47" s="45">
        <v>0</v>
      </c>
      <c r="C47" s="45">
        <v>0.36</v>
      </c>
      <c r="D47" s="45">
        <v>0.439</v>
      </c>
      <c r="E47" s="45">
        <v>0.51</v>
      </c>
      <c r="F47" s="45">
        <v>0.57299999999999995</v>
      </c>
      <c r="G47" s="45">
        <v>0.628</v>
      </c>
      <c r="H47" s="45">
        <v>0.67200000000000004</v>
      </c>
    </row>
    <row r="48" spans="1:8" x14ac:dyDescent="0.3">
      <c r="A48" s="45">
        <v>2600</v>
      </c>
      <c r="B48" s="45">
        <v>10</v>
      </c>
      <c r="C48" s="45">
        <v>0.502</v>
      </c>
      <c r="D48" s="45">
        <v>0.57499999999999996</v>
      </c>
      <c r="E48" s="45">
        <v>0.64</v>
      </c>
      <c r="F48" s="45">
        <v>0.69499999999999995</v>
      </c>
      <c r="G48" s="45">
        <v>0.74099999999999999</v>
      </c>
      <c r="H48" s="45">
        <v>0.77700000000000002</v>
      </c>
    </row>
    <row r="49" spans="1:8" x14ac:dyDescent="0.3">
      <c r="A49" s="45">
        <v>2600</v>
      </c>
      <c r="B49" s="45">
        <v>20</v>
      </c>
      <c r="C49" s="45">
        <v>0.64800000000000002</v>
      </c>
      <c r="D49" s="45">
        <v>0.71599999999999997</v>
      </c>
      <c r="E49" s="45">
        <v>0.77400000000000002</v>
      </c>
      <c r="F49" s="45">
        <v>0.82199999999999995</v>
      </c>
      <c r="G49" s="45">
        <v>0.85899999999999999</v>
      </c>
      <c r="H49" s="45">
        <v>0.88500000000000001</v>
      </c>
    </row>
    <row r="50" spans="1:8" x14ac:dyDescent="0.3">
      <c r="A50" s="45">
        <v>2600</v>
      </c>
      <c r="B50" s="45">
        <v>30</v>
      </c>
      <c r="C50" s="45">
        <v>0.80100000000000005</v>
      </c>
      <c r="D50" s="45">
        <v>0.82699999999999996</v>
      </c>
      <c r="E50" s="45">
        <v>0.91400000000000003</v>
      </c>
      <c r="F50" s="45">
        <v>0.95299999999999996</v>
      </c>
      <c r="G50" s="45">
        <v>0.98199999999999998</v>
      </c>
      <c r="H50" s="45">
        <v>0.999</v>
      </c>
    </row>
    <row r="51" spans="1:8" x14ac:dyDescent="0.3">
      <c r="A51" s="45">
        <v>2800</v>
      </c>
      <c r="B51" s="45">
        <v>0</v>
      </c>
      <c r="C51" s="45">
        <v>0.41299999999999998</v>
      </c>
      <c r="D51" s="45">
        <v>0.505</v>
      </c>
      <c r="E51" s="45">
        <v>0.58499999999999996</v>
      </c>
      <c r="F51" s="45">
        <v>0.66</v>
      </c>
      <c r="G51" s="45">
        <v>0.72099999999999997</v>
      </c>
      <c r="H51" s="45">
        <v>0.77400000000000002</v>
      </c>
    </row>
    <row r="52" spans="1:8" x14ac:dyDescent="0.3">
      <c r="A52" s="45">
        <v>2800</v>
      </c>
      <c r="B52" s="45">
        <v>10</v>
      </c>
      <c r="C52" s="45">
        <v>0.57799999999999996</v>
      </c>
      <c r="D52" s="45">
        <v>0.66300000000000003</v>
      </c>
      <c r="E52" s="45">
        <v>0.73699999999999999</v>
      </c>
      <c r="F52" s="45">
        <v>0.80300000000000005</v>
      </c>
      <c r="G52" s="45">
        <v>0.88500000000000001</v>
      </c>
      <c r="H52" s="45">
        <v>0.89700000000000002</v>
      </c>
    </row>
    <row r="53" spans="1:8" x14ac:dyDescent="0.3">
      <c r="A53" s="45">
        <v>2800</v>
      </c>
      <c r="B53" s="45">
        <v>20</v>
      </c>
      <c r="C53" s="45">
        <v>0.749</v>
      </c>
      <c r="D53" s="45">
        <v>0.82699999999999996</v>
      </c>
      <c r="E53" s="45">
        <v>0.89400000000000002</v>
      </c>
      <c r="F53" s="45">
        <v>0.95</v>
      </c>
      <c r="G53" s="45">
        <v>0.99299999999999999</v>
      </c>
      <c r="H53" s="45">
        <v>1.0249999999999999</v>
      </c>
    </row>
    <row r="54" spans="1:8" x14ac:dyDescent="0.3">
      <c r="A54" s="45">
        <v>2800</v>
      </c>
      <c r="B54" s="45">
        <v>30</v>
      </c>
      <c r="C54" s="45">
        <v>0.92800000000000005</v>
      </c>
      <c r="D54" s="45">
        <v>0.998</v>
      </c>
      <c r="E54" s="45">
        <v>1.0629999999999999</v>
      </c>
      <c r="F54" s="45">
        <v>1.1040000000000001</v>
      </c>
      <c r="G54" s="45">
        <v>1.137</v>
      </c>
      <c r="H54" s="45">
        <v>1.1579999999999999</v>
      </c>
    </row>
  </sheetData>
  <mergeCells count="1"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Belt Conveyor Motor Power</vt:lpstr>
      <vt:lpstr>Density - IS8730</vt:lpstr>
      <vt:lpstr>Table 7 - Max 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Shankar(BTECH10090.24@bitmesra.ac.in)</cp:lastModifiedBy>
  <dcterms:modified xsi:type="dcterms:W3CDTF">2026-06-10T02:46:18Z</dcterms:modified>
</cp:coreProperties>
</file>