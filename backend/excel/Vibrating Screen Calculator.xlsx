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BIT\Desktop\SAIL\Vibrating Screen\"/>
    </mc:Choice>
  </mc:AlternateContent>
  <xr:revisionPtr revIDLastSave="0" documentId="13_ncr:1_{ABDBA9E6-4789-44C9-B763-32EECCCC168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VSMA Screen Design" sheetId="1" r:id="rId1"/>
    <sheet name="Density - IS8730" sheetId="4" r:id="rId2"/>
    <sheet name="Reference Tables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3" i="1" l="1"/>
  <c r="D50" i="1"/>
  <c r="D29" i="1"/>
  <c r="D16" i="1"/>
  <c r="D44" i="1" s="1"/>
  <c r="D22" i="1"/>
  <c r="D14" i="1"/>
  <c r="D35" i="1"/>
  <c r="D13" i="1" s="1"/>
  <c r="D11" i="1"/>
  <c r="D34" i="1"/>
  <c r="D25" i="1" a="1"/>
  <c r="D25" i="1" s="1"/>
  <c r="D21" i="1"/>
  <c r="D20" i="1"/>
  <c r="D8" i="1"/>
  <c r="D12" i="1" s="1"/>
  <c r="D41" i="1" l="1"/>
  <c r="D54" i="1"/>
  <c r="D47" i="1"/>
  <c r="D46" i="1"/>
  <c r="D42" i="1"/>
  <c r="D40" i="1"/>
  <c r="D39" i="1"/>
  <c r="D48" i="1" l="1"/>
  <c r="D51" i="1"/>
  <c r="D43" i="1"/>
  <c r="D45" i="1" s="1"/>
  <c r="D49" i="1" l="1"/>
  <c r="D52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<sst xmlns="http://schemas.openxmlformats.org/spreadsheetml/2006/main" count="575" uniqueCount="547">
  <si>
    <t>Parameter</t>
  </si>
  <si>
    <t>Input</t>
  </si>
  <si>
    <t>Unit</t>
  </si>
  <si>
    <t>Feed Capacity Q</t>
  </si>
  <si>
    <t>TPH</t>
  </si>
  <si>
    <t>Bulk Density</t>
  </si>
  <si>
    <t>t/m³</t>
  </si>
  <si>
    <t>Aperture Size</t>
  </si>
  <si>
    <t>mm</t>
  </si>
  <si>
    <t>-</t>
  </si>
  <si>
    <t>Shape Factor K</t>
  </si>
  <si>
    <t>Efficiency Requirement</t>
  </si>
  <si>
    <t>%</t>
  </si>
  <si>
    <t>Open Area Factor O</t>
  </si>
  <si>
    <t>Screen Type</t>
  </si>
  <si>
    <t>Linear</t>
  </si>
  <si>
    <t>No. of Decks</t>
  </si>
  <si>
    <t>Stroke</t>
  </si>
  <si>
    <t>rpm</t>
  </si>
  <si>
    <t>Undersize Product b</t>
  </si>
  <si>
    <t>Oversize Product c</t>
  </si>
  <si>
    <t>Calculation</t>
  </si>
  <si>
    <t>Basic Capacity Factor C</t>
  </si>
  <si>
    <t>TPH/m²</t>
  </si>
  <si>
    <t>Efficiency Factor E</t>
  </si>
  <si>
    <t>Required Screen Area A</t>
  </si>
  <si>
    <t>m²</t>
  </si>
  <si>
    <t>m</t>
  </si>
  <si>
    <t>Length / Width Ratio</t>
  </si>
  <si>
    <t>Angular Velocity ω</t>
  </si>
  <si>
    <t>rad/s</t>
  </si>
  <si>
    <t>Radius r</t>
  </si>
  <si>
    <t>G-Force</t>
  </si>
  <si>
    <t>g</t>
  </si>
  <si>
    <t>Dynamic Load</t>
  </si>
  <si>
    <t>kg</t>
  </si>
  <si>
    <t>Transport Speed</t>
  </si>
  <si>
    <t>m/s</t>
  </si>
  <si>
    <t>Bed Depth Approx.</t>
  </si>
  <si>
    <t>Screen Efficiency η</t>
  </si>
  <si>
    <t>Moisture Factor</t>
  </si>
  <si>
    <t>Calculations</t>
  </si>
  <si>
    <t>Material</t>
  </si>
  <si>
    <t>Average Bulk Density, t/m³</t>
  </si>
  <si>
    <t>Adipic acid</t>
  </si>
  <si>
    <t>Alfalfa seed</t>
  </si>
  <si>
    <t>Alfalfa meal</t>
  </si>
  <si>
    <t>Almonds, broken or whole</t>
  </si>
  <si>
    <t>Alum, fine</t>
  </si>
  <si>
    <t>Alum, lumpy</t>
  </si>
  <si>
    <t>Alum, pulverised</t>
  </si>
  <si>
    <t>Alumina</t>
  </si>
  <si>
    <t>Aluminate jell</t>
  </si>
  <si>
    <t>Aluminium chips</t>
  </si>
  <si>
    <t>Aluminium hydrate</t>
  </si>
  <si>
    <t>Aluminium oxide</t>
  </si>
  <si>
    <t>Aluminium silicate</t>
  </si>
  <si>
    <t>Aluminium sulphate</t>
  </si>
  <si>
    <t>Ammonium chloride, crystalline</t>
  </si>
  <si>
    <t>Ammonium nitrate</t>
  </si>
  <si>
    <t>Ammonium phosphate</t>
  </si>
  <si>
    <t>Ammonium sulphate (granular)</t>
  </si>
  <si>
    <t>Apple pomace, dry</t>
  </si>
  <si>
    <t>Arsenic oxide</t>
  </si>
  <si>
    <t>Arsenic, pulverized</t>
  </si>
  <si>
    <t>Asbestos ore or rock</t>
  </si>
  <si>
    <t>Asbestos shred</t>
  </si>
  <si>
    <t>Ash, black, ground</t>
  </si>
  <si>
    <t>Ashes, coal, dry, 12 mm and under</t>
  </si>
  <si>
    <t>Ashes, coal, dry, 75 mm and under</t>
  </si>
  <si>
    <t>Ashes, coal, wet, 12 mm and under</t>
  </si>
  <si>
    <t>Ashes, coal, wet, 75 mm and under</t>
  </si>
  <si>
    <t>Ashes, fly</t>
  </si>
  <si>
    <t>Ashes, gas-producer, wet</t>
  </si>
  <si>
    <t>Asphalt, binder for paving</t>
  </si>
  <si>
    <t>Asphalt, crushed, 12 mm and under</t>
  </si>
  <si>
    <t>Bagasse</t>
  </si>
  <si>
    <t>Bakelite and similar plastics (powdered)</t>
  </si>
  <si>
    <t>Baking powder</t>
  </si>
  <si>
    <t>Barite</t>
  </si>
  <si>
    <t>Barium carbonate</t>
  </si>
  <si>
    <t>Bark, wood, refuse</t>
  </si>
  <si>
    <t>Barley</t>
  </si>
  <si>
    <t>Barytes, powdered</t>
  </si>
  <si>
    <t>Barytes, lumpy</t>
  </si>
  <si>
    <t>Bauxite, ground, dry</t>
  </si>
  <si>
    <t>Bauxite, mine run</t>
  </si>
  <si>
    <t>Bauxite, crushed, 75 mm and under</t>
  </si>
  <si>
    <t>Beans, castor, whole</t>
  </si>
  <si>
    <t>Beans, navy, dry</t>
  </si>
  <si>
    <t>Beans, navy, steeped</t>
  </si>
  <si>
    <t>Beet pulp, dry</t>
  </si>
  <si>
    <t>Beet pulp, wet</t>
  </si>
  <si>
    <t>Beets, whole</t>
  </si>
  <si>
    <t>Bentonite, crude</t>
  </si>
  <si>
    <t>Bentonite, 150 micron IS Sieve</t>
  </si>
  <si>
    <t>Benzine hexachloride</t>
  </si>
  <si>
    <t>Bicarbonate of soda</t>
  </si>
  <si>
    <t>Blood, dried</t>
  </si>
  <si>
    <t>Bones, crushed</t>
  </si>
  <si>
    <t>Bones, granulated or ground</t>
  </si>
  <si>
    <t>Bones</t>
  </si>
  <si>
    <t>Bone black, 150 micron IS Sieve</t>
  </si>
  <si>
    <t>Bone charcoal</t>
  </si>
  <si>
    <t>Bone meal</t>
  </si>
  <si>
    <t>Borate of lime</t>
  </si>
  <si>
    <t>Borax, 50 mm to 75 mm lumps</t>
  </si>
  <si>
    <t>Borax, 37 to 50 mm lumps</t>
  </si>
  <si>
    <t>Borax, 12 mm screenings</t>
  </si>
  <si>
    <t>Borax, fine</t>
  </si>
  <si>
    <t>Boric acid, fine</t>
  </si>
  <si>
    <t>Boron</t>
  </si>
  <si>
    <t>Bran</t>
  </si>
  <si>
    <t>Brewer's grain, spent, dry</t>
  </si>
  <si>
    <t>Brewer's grain, spent, wet</t>
  </si>
  <si>
    <t>Brick, hard</t>
  </si>
  <si>
    <t>Brick, soft</t>
  </si>
  <si>
    <t>Bronze Chips</t>
  </si>
  <si>
    <t>Buckwheat</t>
  </si>
  <si>
    <t>Calcium acetate</t>
  </si>
  <si>
    <t>Calcium carbide (crushed)</t>
  </si>
  <si>
    <t>Calcium lactate</t>
  </si>
  <si>
    <t>Carbon, activated, dry, fine</t>
  </si>
  <si>
    <t>Carbon black, pelletized</t>
  </si>
  <si>
    <t>Carbon black powder</t>
  </si>
  <si>
    <t>Carborundum, 75 mm and under</t>
  </si>
  <si>
    <t>Casein</t>
  </si>
  <si>
    <t>Cashew nuts</t>
  </si>
  <si>
    <t>Cast iron chips</t>
  </si>
  <si>
    <t>Cement, Portland</t>
  </si>
  <si>
    <t>Cement Portland, aerated</t>
  </si>
  <si>
    <t>Cement, rock (see Limestone)</t>
  </si>
  <si>
    <t>Cement clinker</t>
  </si>
  <si>
    <t>Cement mortar</t>
  </si>
  <si>
    <t>Chalk, lumpy</t>
  </si>
  <si>
    <t>Chalk, 150 micron IS Sieve and under</t>
  </si>
  <si>
    <t>Charcoal</t>
  </si>
  <si>
    <t>Cheese, grated</t>
  </si>
  <si>
    <t>Chips, paper mill</t>
  </si>
  <si>
    <t>Chips, paper mill, softwood</t>
  </si>
  <si>
    <t>Chips hogged, fuel</t>
  </si>
  <si>
    <t>Chocolate press cake</t>
  </si>
  <si>
    <t>Chrome Ore (Chromite)</t>
  </si>
  <si>
    <t>Cinders, Blast furnace</t>
  </si>
  <si>
    <t>Cinders, coal</t>
  </si>
  <si>
    <t>Clay, calcined</t>
  </si>
  <si>
    <t>Clay, dry, fines</t>
  </si>
  <si>
    <t>Clay, dry, lumpy</t>
  </si>
  <si>
    <t>Clover seed</t>
  </si>
  <si>
    <t>Coal, anthracite, river or culm, 3 mm and under</t>
  </si>
  <si>
    <t>Coal, anthracite, sized</t>
  </si>
  <si>
    <t>Coal, bituminous, mined, 300 micron sieve and under</t>
  </si>
  <si>
    <t>Coal, bituminous, mined, classified</t>
  </si>
  <si>
    <t>Coal, bituminous, mined, unclassified</t>
  </si>
  <si>
    <t>Coal, bituminous, mined, slack, 12 mm and under</t>
  </si>
  <si>
    <t>Coal, bituminous, stripping, not cleaned</t>
  </si>
  <si>
    <t>Coal, Char</t>
  </si>
  <si>
    <t>Coal, powdered</t>
  </si>
  <si>
    <t>Coal, pulverised</t>
  </si>
  <si>
    <t>Cocoa beans</t>
  </si>
  <si>
    <t>Cocoa powder</t>
  </si>
  <si>
    <t>Cocoanut, shredded</t>
  </si>
  <si>
    <t>Coffee, shaff</t>
  </si>
  <si>
    <t>Coffee, green bean</t>
  </si>
  <si>
    <t>Coffee, ground</t>
  </si>
  <si>
    <t>Coffee, roasted bean</t>
  </si>
  <si>
    <t>Coffee, soluble</t>
  </si>
  <si>
    <t>Coke, loose</t>
  </si>
  <si>
    <t>Coke, petroleum calcined</t>
  </si>
  <si>
    <t>Coke breeze, 6 mm and under</t>
  </si>
  <si>
    <t>Compost</t>
  </si>
  <si>
    <t>Concrete, cinder</t>
  </si>
  <si>
    <t>Concrete, 50 mm slump</t>
  </si>
  <si>
    <t>Concrete, 100 mm slump</t>
  </si>
  <si>
    <t>Concrete, 150 mm slump</t>
  </si>
  <si>
    <t>Concrete, in place, stone</t>
  </si>
  <si>
    <t>Copper ore</t>
  </si>
  <si>
    <t>Copper ore, crushed</t>
  </si>
  <si>
    <t>Copper sulphate</t>
  </si>
  <si>
    <t>Copra, lumpy</t>
  </si>
  <si>
    <t>Copra cake, ground</t>
  </si>
  <si>
    <t>Copra cake, lumpy</t>
  </si>
  <si>
    <t>Copra meal</t>
  </si>
  <si>
    <t>Cork, fine ground</t>
  </si>
  <si>
    <t>Cork, granulated</t>
  </si>
  <si>
    <t>Corn, cracked</t>
  </si>
  <si>
    <t>Corn, speed</t>
  </si>
  <si>
    <t>Corn, ear</t>
  </si>
  <si>
    <t>Corn, shelled</t>
  </si>
  <si>
    <t>Corn sugar</t>
  </si>
  <si>
    <t>Corn germs</t>
  </si>
  <si>
    <t>Corn grits</t>
  </si>
  <si>
    <t>Cornmeal</t>
  </si>
  <si>
    <t>Cottonseed, dry de-linted</t>
  </si>
  <si>
    <t>Cottonseed, dry not de-linted</t>
  </si>
  <si>
    <t>Cottonseed cake, crushed</t>
  </si>
  <si>
    <t>Cottonseed flakes</t>
  </si>
  <si>
    <t>Cottonseed cake, lumpy</t>
  </si>
  <si>
    <t>Cottonseed hulls</t>
  </si>
  <si>
    <t>Cottonseed meal</t>
  </si>
  <si>
    <t>Cottonseed meats</t>
  </si>
  <si>
    <t>Cracklings, crushed, 75 mm and under</t>
  </si>
  <si>
    <t>Cryolite dust</t>
  </si>
  <si>
    <t>Cryolite, lumpy</t>
  </si>
  <si>
    <t>Cullet</t>
  </si>
  <si>
    <t>Culm (see Coal)</t>
  </si>
  <si>
    <t>Diatomaceous earth</t>
  </si>
  <si>
    <t>Dicalcium phosphate</t>
  </si>
  <si>
    <t>Disodium phosphate</t>
  </si>
  <si>
    <t>Dolomite, lumpy</t>
  </si>
  <si>
    <t>Earth as excavated dry</t>
  </si>
  <si>
    <t>Earth wet containing clay</t>
  </si>
  <si>
    <t>Ebonite, crushed, 12 mm and under</t>
  </si>
  <si>
    <t>Egg powder</t>
  </si>
  <si>
    <t>Emery</t>
  </si>
  <si>
    <t>Epsom salts</t>
  </si>
  <si>
    <t>Face powder (see Talc)</t>
  </si>
  <si>
    <t>Feldspar, ground, 3 mm and under</t>
  </si>
  <si>
    <t>Feldspar, powdered</t>
  </si>
  <si>
    <t>Feldspar, 12 mm screenings</t>
  </si>
  <si>
    <t>Feldspar, 37 to 75 mm lumps</t>
  </si>
  <si>
    <t>Feldspar, 75-micron IS Sieve</t>
  </si>
  <si>
    <t>Ferrous sulphate</t>
  </si>
  <si>
    <t>Filter press mud (sugar factory)</t>
  </si>
  <si>
    <t>Fish meal</t>
  </si>
  <si>
    <t>Fish scrap</t>
  </si>
  <si>
    <t>Flax seed</t>
  </si>
  <si>
    <t>Flaxseed cake, expeller</t>
  </si>
  <si>
    <t>Flaxseed meal</t>
  </si>
  <si>
    <t>Flour, wheat</t>
  </si>
  <si>
    <t>Flue dust, boiler house, dry</t>
  </si>
  <si>
    <t>Flue dust, blast furnace</t>
  </si>
  <si>
    <t>Fluorspar</t>
  </si>
  <si>
    <t>Flourspar, 12 mm screenings</t>
  </si>
  <si>
    <t>Flourspar, 37 to 75 mm lumps</t>
  </si>
  <si>
    <t>Foundry sand, loose (see Sand)</t>
  </si>
  <si>
    <t>Foundry refuse, old sand cores, etc</t>
  </si>
  <si>
    <t>Fullers' earth, dry</t>
  </si>
  <si>
    <t>Fullers earth, oily</t>
  </si>
  <si>
    <t>Fullers' earth, oil filter, burned</t>
  </si>
  <si>
    <t>Fullers' earth, oil filter, raw</t>
  </si>
  <si>
    <t>Fullers' earth, oil filter, 300 spent</t>
  </si>
  <si>
    <t>Garbage, green</t>
  </si>
  <si>
    <t>Garbage, household</t>
  </si>
  <si>
    <t>Gelatin, granulated</t>
  </si>
  <si>
    <t>Gilsonite</t>
  </si>
  <si>
    <t>Glue, ground, 3 mm and under</t>
  </si>
  <si>
    <t>Glue, pearl</t>
  </si>
  <si>
    <t>Glue, vegetable, powdered</t>
  </si>
  <si>
    <t>Glass batch</t>
  </si>
  <si>
    <t>Gluten meal</t>
  </si>
  <si>
    <t>Grain, distillery, spent, dry</t>
  </si>
  <si>
    <t>Granite, 12 mm screenings</t>
  </si>
  <si>
    <t>Granite, 37 to 75 mm lumps</t>
  </si>
  <si>
    <t>Granite, broken</t>
  </si>
  <si>
    <t>Graphite, flake</t>
  </si>
  <si>
    <t>Graphite, flour</t>
  </si>
  <si>
    <t>Grape pomace</t>
  </si>
  <si>
    <t>Grass seed</t>
  </si>
  <si>
    <t>Gravel, bank run</t>
  </si>
  <si>
    <t>Gravel, pebbles</t>
  </si>
  <si>
    <t>Gravel</t>
  </si>
  <si>
    <t>Gypsum, calcined, 12 mm and under</t>
  </si>
  <si>
    <t>Gypsum, calcined, powdered</t>
  </si>
  <si>
    <t>Gypsum, dust non-aerated</t>
  </si>
  <si>
    <t>Gypsum, dust, aerated</t>
  </si>
  <si>
    <t>Gypsum, 12 mm screening</t>
  </si>
  <si>
    <t>Gypsum, 37 to 75 mm lumps</t>
  </si>
  <si>
    <t>Gypsum, raw, 25 mm and under</t>
  </si>
  <si>
    <t>Guano, dry</t>
  </si>
  <si>
    <t>Gunpowder</t>
  </si>
  <si>
    <t>Hay, loose</t>
  </si>
  <si>
    <t>Hominy</t>
  </si>
  <si>
    <t>Hops, spent, dry</t>
  </si>
  <si>
    <t>Hops, spent, wet</t>
  </si>
  <si>
    <t>Ice, crushed</t>
  </si>
  <si>
    <t>Ilmenite ore</t>
  </si>
  <si>
    <t>Iron borings, machine shop</t>
  </si>
  <si>
    <t>Iron ore</t>
  </si>
  <si>
    <t>Iron ore, crushed</t>
  </si>
  <si>
    <t>Iron ore, pellets</t>
  </si>
  <si>
    <t>Iron oxide, pigment</t>
  </si>
  <si>
    <t>Kaolin clay, 75 mm and under</t>
  </si>
  <si>
    <t>Kaolin talc, 150-micron IS Sieve</t>
  </si>
  <si>
    <t>Lactose</t>
  </si>
  <si>
    <t>Lead arsenate</t>
  </si>
  <si>
    <t>Lead ores (Galena)</t>
  </si>
  <si>
    <t>Lead oxides</t>
  </si>
  <si>
    <t>Lignite, air dried</t>
  </si>
  <si>
    <t>Lignite, raw, heavy</t>
  </si>
  <si>
    <t>Lime ground, 3 mm and under</t>
  </si>
  <si>
    <t>Lime, hydrated</t>
  </si>
  <si>
    <t>Lime, hydrated, 3 mm and under</t>
  </si>
  <si>
    <t>Lime, hydrated, pulverized</t>
  </si>
  <si>
    <t>Lime, over 12 mm</t>
  </si>
  <si>
    <t>Lime, pebble</t>
  </si>
  <si>
    <t>Limestone</t>
  </si>
  <si>
    <t>Limestone, agricultural, 3 mm and under</t>
  </si>
  <si>
    <t>Limestone, crushed</t>
  </si>
  <si>
    <t>Limestoe, dust</t>
  </si>
  <si>
    <t>Linseed cake, pea size</t>
  </si>
  <si>
    <t>Linseed meal</t>
  </si>
  <si>
    <t>Litharge, pulverized (Lead oxide)</t>
  </si>
  <si>
    <t>Lithopone</t>
  </si>
  <si>
    <t>Magnesite, fines</t>
  </si>
  <si>
    <t>Magnesium chloride</t>
  </si>
  <si>
    <t>Magnesium sulphate</t>
  </si>
  <si>
    <t>Malt, dry ground, 3 mm and under</t>
  </si>
  <si>
    <t>Malt, dry whole</t>
  </si>
  <si>
    <t>Malt, wet or green</t>
  </si>
  <si>
    <t>Malt, meal</t>
  </si>
  <si>
    <t>Malt, sprouts</t>
  </si>
  <si>
    <t>Manganese dioxide</t>
  </si>
  <si>
    <t>Manganese ore</t>
  </si>
  <si>
    <t>Manganese sulphate</t>
  </si>
  <si>
    <t>Marble, crushed, 12 mm and under</t>
  </si>
  <si>
    <t>Marl, dry</t>
  </si>
  <si>
    <t>Meat scraps</t>
  </si>
  <si>
    <t>Meat ground</t>
  </si>
  <si>
    <t>Mica, ground</t>
  </si>
  <si>
    <t>Mica, pulverized</t>
  </si>
  <si>
    <t>Mica, flakes</t>
  </si>
  <si>
    <t>Milk, dried, flake</t>
  </si>
  <si>
    <t>Milk, dry powder</t>
  </si>
  <si>
    <t>Milk, malted</t>
  </si>
  <si>
    <t>Milk, whole, powderea</t>
  </si>
  <si>
    <t>Milo maize</t>
  </si>
  <si>
    <t>Molybdenite, powdered</t>
  </si>
  <si>
    <t>Mortar, wet</t>
  </si>
  <si>
    <t>Muriate of potash</t>
  </si>
  <si>
    <t>Mustard seed</t>
  </si>
  <si>
    <t>Monosodium phosphate</t>
  </si>
  <si>
    <t>Mushrooms</t>
  </si>
  <si>
    <t>N.P.K. (fertilizer)</t>
  </si>
  <si>
    <t>Naphthalene flakes</t>
  </si>
  <si>
    <t>Nilacin-Nickle</t>
  </si>
  <si>
    <t>Nickle ore</t>
  </si>
  <si>
    <t>Nickel-cobalt sulphate ore</t>
  </si>
  <si>
    <t>Nitrophosphate (Sulpha)</t>
  </si>
  <si>
    <t>Oats</t>
  </si>
  <si>
    <t>Oats, rolled</t>
  </si>
  <si>
    <t>Oil cake</t>
  </si>
  <si>
    <t>Orange peel, dry</t>
  </si>
  <si>
    <t>Oxalic acid, crystals</t>
  </si>
  <si>
    <t>Oyster shells, ground, under 12 mm</t>
  </si>
  <si>
    <t>Oyster shells, whole</t>
  </si>
  <si>
    <t>Paper pulp stock</t>
  </si>
  <si>
    <t>Paper pulp, 10 percent consistency</t>
  </si>
  <si>
    <t>Paper pulp stock, up to 15 percent</t>
  </si>
  <si>
    <t>Paper pulp, 20 percent consistency</t>
  </si>
  <si>
    <t>Paper pulp, 30 percent consistency</t>
  </si>
  <si>
    <t>Paraffin cake, broken</t>
  </si>
  <si>
    <t>Peanuts, in shells</t>
  </si>
  <si>
    <t>Peanuts shelled</t>
  </si>
  <si>
    <t>Peas, dried</t>
  </si>
  <si>
    <t>Pebbles, over 25 mm</t>
  </si>
  <si>
    <t>Phosphate acid, fertilizer</t>
  </si>
  <si>
    <t>Phosphate, acid, pulverized</t>
  </si>
  <si>
    <t>Phosphate, granular</t>
  </si>
  <si>
    <t>Phosphate, triple, super, ground fertilizer</t>
  </si>
  <si>
    <t>Phosphate rock, broken, dry</t>
  </si>
  <si>
    <t>Phosphate rock, pulverized</t>
  </si>
  <si>
    <t>Phosphate sand</t>
  </si>
  <si>
    <t>Phosphate, diammonium</t>
  </si>
  <si>
    <t>Phosphate, florida</t>
  </si>
  <si>
    <t>Pitch</t>
  </si>
  <si>
    <t>Polystyrene beads</t>
  </si>
  <si>
    <t>Potash salts, sylyite, etc</t>
  </si>
  <si>
    <t>Potassium carbonate</t>
  </si>
  <si>
    <t>Potassium chloride, pellets</t>
  </si>
  <si>
    <t>Potassium nitrate</t>
  </si>
  <si>
    <t>Potassium sulphate</t>
  </si>
  <si>
    <t>Pumice, 3 mm and under</t>
  </si>
  <si>
    <t>Pyrites, iron, 50 to 75 mm lumps</t>
  </si>
  <si>
    <t>Pyrites, pellets</t>
  </si>
  <si>
    <t>Quartz, dust</t>
  </si>
  <si>
    <t>Quartz, pulverised or granular</t>
  </si>
  <si>
    <t>Quartz, 12 mm screenings</t>
  </si>
  <si>
    <t>Quartz, 37 to 75 mm lumps</t>
  </si>
  <si>
    <t>Rice bran (see Bran)</t>
  </si>
  <si>
    <t>Rice, hulled or polished</t>
  </si>
  <si>
    <t>Rice, rough</t>
  </si>
  <si>
    <t>Rice grits</t>
  </si>
  <si>
    <t>Rock, crushed</t>
  </si>
  <si>
    <t>Rock, soft, excavated with shovel</t>
  </si>
  <si>
    <t>Rubber, ground</t>
  </si>
  <si>
    <t>Rubber, pellets</t>
  </si>
  <si>
    <t>Rubber, reclaim</t>
  </si>
  <si>
    <t>Rye</t>
  </si>
  <si>
    <t>Salicylic acid</t>
  </si>
  <si>
    <t>Salt, common dry, coarse</t>
  </si>
  <si>
    <t>Salt, common dry, fine</t>
  </si>
  <si>
    <t>Salt, cake, dry, coarse</t>
  </si>
  <si>
    <t>Salt, cake, dry, pulverized</t>
  </si>
  <si>
    <t>Saltpeter</t>
  </si>
  <si>
    <t>Sand, bank, damp</t>
  </si>
  <si>
    <t>Sand, bank, dry</t>
  </si>
  <si>
    <t>Sand, foundry, prepared</t>
  </si>
  <si>
    <t>Sand, foundry, shakeout</t>
  </si>
  <si>
    <t>Sand, silica, dry</t>
  </si>
  <si>
    <t>Sand, core</t>
  </si>
  <si>
    <t>Sandstone, broken</t>
  </si>
  <si>
    <t>Sawdust</t>
  </si>
  <si>
    <t>Sesame seed</t>
  </si>
  <si>
    <t>Sewage (sludge)</t>
  </si>
  <si>
    <t>Shale, broken</t>
  </si>
  <si>
    <t>Shale, crushed</t>
  </si>
  <si>
    <t>Shellac</t>
  </si>
  <si>
    <t>Shellac, powdered or granulated</t>
  </si>
  <si>
    <t>Silica gel</t>
  </si>
  <si>
    <t>Single superphosphate, granulated</t>
  </si>
  <si>
    <t>Sinter</t>
  </si>
  <si>
    <t>Slag, blast furnace, crushed</t>
  </si>
  <si>
    <t>Slag, furnace, granular, dry</t>
  </si>
  <si>
    <t>Slag, furnace, granular, wet</t>
  </si>
  <si>
    <t>Slag, furnace, lumpy</t>
  </si>
  <si>
    <t>Slate, dust</t>
  </si>
  <si>
    <t>Slate, crushed, 3 mm and under</t>
  </si>
  <si>
    <t>Slate, lumps 37 to 75 mm</t>
  </si>
  <si>
    <t>Soap chips</t>
  </si>
  <si>
    <t>Soap detergents</t>
  </si>
  <si>
    <t>Soap flakes</t>
  </si>
  <si>
    <t>Soap powder</t>
  </si>
  <si>
    <t>Soapstone, talc, fine</t>
  </si>
  <si>
    <t>Soda ash, briquettes</t>
  </si>
  <si>
    <t>Soda ash, heavy</t>
  </si>
  <si>
    <t>Soda ash, light</t>
  </si>
  <si>
    <t>Sodium bicarbonate</t>
  </si>
  <si>
    <t>Sodium nitrate</t>
  </si>
  <si>
    <t>Sodium phosphate</t>
  </si>
  <si>
    <t>Sodium aluminium sulphate</t>
  </si>
  <si>
    <t>Sorghum seed</t>
  </si>
  <si>
    <t>Soyabeans, cracked</t>
  </si>
  <si>
    <t>Soyabeans, whole</t>
  </si>
  <si>
    <t>Soyabean cake, over 12 mm</t>
  </si>
  <si>
    <t>Soyabean flakes, raw</t>
  </si>
  <si>
    <t>Soyabean flakes, spent</t>
  </si>
  <si>
    <t>Soyabean flour</t>
  </si>
  <si>
    <t>Soyabean meal, cold</t>
  </si>
  <si>
    <t>Soyabean meal, hot</t>
  </si>
  <si>
    <t>Starch</t>
  </si>
  <si>
    <t>Steel chips, crushed</t>
  </si>
  <si>
    <t>Steel trimmings</t>
  </si>
  <si>
    <t>Stone, crushed</t>
  </si>
  <si>
    <t>Sugar, granulated</t>
  </si>
  <si>
    <t>Sugar, powdered</t>
  </si>
  <si>
    <t>Sugar, raw, cane</t>
  </si>
  <si>
    <t>Sugar, wet, beet</t>
  </si>
  <si>
    <t>Sugar, cane, knifed</t>
  </si>
  <si>
    <t>Sugar, refined</t>
  </si>
  <si>
    <t>Sugar, beet, pulp, dry</t>
  </si>
  <si>
    <t>Sugar, beet, pulp, wet</t>
  </si>
  <si>
    <t>Sulphate, powdered</t>
  </si>
  <si>
    <t>Sulphate, crushed, 12 mm and under</t>
  </si>
  <si>
    <t>Sulphate, 75 mm and under</t>
  </si>
  <si>
    <t>Sulphur, coarsed</t>
  </si>
  <si>
    <t>Sulphur, crushed</t>
  </si>
  <si>
    <t>Sulphur, powdered</t>
  </si>
  <si>
    <t>Taconite, pellets</t>
  </si>
  <si>
    <t>Talc, powdered</t>
  </si>
  <si>
    <t>Talc, 42 mm screenings</t>
  </si>
  <si>
    <t>Talc, 37 to 75 mm lumps</t>
  </si>
  <si>
    <t>Talc, solid</t>
  </si>
  <si>
    <t>Tallow</t>
  </si>
  <si>
    <t>Timothy seed</t>
  </si>
  <si>
    <t>Titanium dioxide</t>
  </si>
  <si>
    <t>Tanbark, ground</t>
  </si>
  <si>
    <t>Tankage</t>
  </si>
  <si>
    <t>Titanium sponge</t>
  </si>
  <si>
    <t>Tobacco leaves, dry</t>
  </si>
  <si>
    <t>Tobacco scraps</t>
  </si>
  <si>
    <t>Tobacco snuff</t>
  </si>
  <si>
    <t>Tobacco stems</t>
  </si>
  <si>
    <t>Traprookcrushed</t>
  </si>
  <si>
    <t>Traprook, 12 mm screenings</t>
  </si>
  <si>
    <t>Traprook, 50 to 75 mm lumps</t>
  </si>
  <si>
    <t>Trisodium phosphate</t>
  </si>
  <si>
    <t>Trisodium phosphate, granular</t>
  </si>
  <si>
    <t>Trisodium phosphate, pulverized</t>
  </si>
  <si>
    <t>Triple super phosphate</t>
  </si>
  <si>
    <t>Tung nut meats, crushed</t>
  </si>
  <si>
    <t>Urea, prills</t>
  </si>
  <si>
    <t>Vermiculite, expanded</t>
  </si>
  <si>
    <t>Vermiculite ore</t>
  </si>
  <si>
    <t>Walnut shells, crushed</t>
  </si>
  <si>
    <t>Wheat</t>
  </si>
  <si>
    <t>Wheat, cracked</t>
  </si>
  <si>
    <t>Wheat germ</t>
  </si>
  <si>
    <t>Wood chips</t>
  </si>
  <si>
    <t>Wood flour</t>
  </si>
  <si>
    <t>Wood shavings</t>
  </si>
  <si>
    <t>Zinc dust</t>
  </si>
  <si>
    <t>Zinc concentrates</t>
  </si>
  <si>
    <t>Zinc ore, crushed</t>
  </si>
  <si>
    <t>Zinc ore, roasted</t>
  </si>
  <si>
    <t>Zinc oxide, heavy</t>
  </si>
  <si>
    <t>Zinc oxide, light</t>
  </si>
  <si>
    <t>VIBRATING SCREEN DESIGN CALCULATOR</t>
  </si>
  <si>
    <t>Motor Speed</t>
  </si>
  <si>
    <t>Feed Size a</t>
  </si>
  <si>
    <t>Material Condition</t>
  </si>
  <si>
    <t>Dry</t>
  </si>
  <si>
    <t>Slightly damp</t>
  </si>
  <si>
    <t>Wet</t>
  </si>
  <si>
    <t>Sticky wet</t>
  </si>
  <si>
    <t>Shape Factor</t>
  </si>
  <si>
    <t>Particle Shape</t>
  </si>
  <si>
    <t>Rounded</t>
  </si>
  <si>
    <t>Cubical</t>
  </si>
  <si>
    <t>Angular</t>
  </si>
  <si>
    <t>Flat/elongated</t>
  </si>
  <si>
    <t>Deck Factor</t>
  </si>
  <si>
    <t>Motion Speed</t>
  </si>
  <si>
    <t>Circular</t>
  </si>
  <si>
    <t>Elliptical</t>
  </si>
  <si>
    <t>Force</t>
  </si>
  <si>
    <t>Power</t>
  </si>
  <si>
    <t>kW</t>
  </si>
  <si>
    <t>N</t>
  </si>
  <si>
    <t>Width</t>
  </si>
  <si>
    <t>Length</t>
  </si>
  <si>
    <t>Inclination</t>
  </si>
  <si>
    <t>degree</t>
  </si>
  <si>
    <t>Speed</t>
  </si>
  <si>
    <t>Feed Size</t>
  </si>
  <si>
    <t>Feed Size (mm)</t>
  </si>
  <si>
    <t>q (m³/m²/hr)</t>
  </si>
  <si>
    <t>Specific feed rate</t>
  </si>
  <si>
    <t>m2/hr</t>
  </si>
  <si>
    <t>Material Factor</t>
  </si>
  <si>
    <t>M</t>
  </si>
  <si>
    <t>Oversize Factor</t>
  </si>
  <si>
    <t>Over Size Factor Table</t>
  </si>
  <si>
    <t>% over size</t>
  </si>
  <si>
    <t>C1</t>
  </si>
  <si>
    <t>Size</t>
  </si>
  <si>
    <t>Efficiency (%)</t>
  </si>
  <si>
    <t>Efficiency Factor</t>
  </si>
  <si>
    <t>C3</t>
  </si>
  <si>
    <t>Half size cut factor</t>
  </si>
  <si>
    <t>Inclination Factor</t>
  </si>
  <si>
    <t>Factor C0</t>
  </si>
  <si>
    <t>Screen Inclination</t>
  </si>
  <si>
    <t>Amplitude Factor</t>
  </si>
  <si>
    <t>Amplitude</t>
  </si>
  <si>
    <t>Moisture Condition</t>
  </si>
  <si>
    <t>Weight of Oscillating part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</si>
</sst>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theme="1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38761D"/>
        <bgColor rgb="FF38761D"/>
      </patternFill>
    </fill>
    <fill>
      <patternFill patternType="solid">
        <fgColor rgb="FFBFDDF0"/>
        <bgColor indexed="64"/>
      </patternFill>
    </fill>
    <fill>
      <patternFill patternType="solid">
        <fgColor rgb="FFFFF9D2"/>
        <bgColor indexed="64"/>
      </patternFill>
    </fill>
    <fill>
      <patternFill patternType="solid">
        <fgColor rgb="FFFFFF00"/>
        <bgColor rgb="FF1F4E78"/>
      </patternFill>
    </fill>
    <fill>
      <patternFill patternType="solid">
        <fgColor rgb="FFFFFF00"/>
        <bgColor indexed="64"/>
      </patternFill>
    </fill>
    <fill>
      <patternFill patternType="solid">
        <fgColor rgb="FFFF99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6">
    <xf numFmtId="0" fontId="0" fillId="0" borderId="0" xfId="0"/>
    <xf numFmtId="0" fontId="0" fillId="5" borderId="0" xfId="0" applyFill="1" applyBorder="1"/>
    <xf numFmtId="0" fontId="0" fillId="5" borderId="5" xfId="0" applyFill="1" applyBorder="1"/>
    <xf numFmtId="0" fontId="0" fillId="5" borderId="6" xfId="0" applyFill="1" applyBorder="1"/>
    <xf numFmtId="0" fontId="0" fillId="5" borderId="7" xfId="0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1" xfId="0" applyFont="1" applyFill="1" applyBorder="1"/>
    <xf numFmtId="0" fontId="0" fillId="4" borderId="8" xfId="0" applyFill="1" applyBorder="1"/>
    <xf numFmtId="0" fontId="0" fillId="4" borderId="9" xfId="0" applyFill="1" applyBorder="1"/>
    <xf numFmtId="0" fontId="1" fillId="3" borderId="1" xfId="0" applyFont="1" applyFill="1" applyBorder="1"/>
    <xf numFmtId="0" fontId="3" fillId="3" borderId="3" xfId="0" applyFont="1" applyFill="1" applyBorder="1"/>
    <xf numFmtId="0" fontId="1" fillId="3" borderId="4" xfId="0" applyFont="1" applyFill="1" applyBorder="1"/>
    <xf numFmtId="0" fontId="5" fillId="0" borderId="0" xfId="1" applyFont="1"/>
    <xf numFmtId="0" fontId="6" fillId="0" borderId="0" xfId="1" applyFont="1"/>
    <xf numFmtId="0" fontId="7" fillId="0" borderId="0" xfId="1" applyFont="1"/>
    <xf numFmtId="0" fontId="4" fillId="0" borderId="0" xfId="1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8" borderId="0" xfId="0" applyFill="1" applyBorder="1"/>
    <xf numFmtId="0" fontId="0" fillId="8" borderId="5" xfId="0" applyFill="1" applyBorder="1"/>
    <xf numFmtId="0" fontId="8" fillId="0" borderId="0" xfId="0" applyFont="1"/>
    <xf numFmtId="0" fontId="2" fillId="6" borderId="2" xfId="0" applyFont="1" applyFill="1" applyBorder="1" applyAlignment="1">
      <alignment horizontal="center"/>
    </xf>
    <xf numFmtId="0" fontId="0" fillId="7" borderId="3" xfId="0" applyFont="1" applyFill="1" applyBorder="1" applyAlignment="1">
      <alignment horizontal="center"/>
    </xf>
    <xf numFmtId="0" fontId="0" fillId="7" borderId="4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Normal 2" xfId="1" xr:uid="{D275EB57-A8F0-4E0D-8A4B-62B78C5E9EFE}"/>
  </cellStyles>
  <dxfs count="0"/>
  <tableStyles count="0" defaultTableStyle="TableStyleMedium9" defaultPivotStyle="PivotStyleLight16"/>
  <colors>
    <mruColors>
      <color rgb="FFFF99FF"/>
      <color rgb="FFFFF9D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E54"/>
  <sheetViews>
    <sheetView tabSelected="1" topLeftCell="A43" zoomScale="93" workbookViewId="0">
      <selection activeCell="H38" sqref="H38"/>
    </sheetView>
  </sheetViews>
  <sheetFormatPr defaultRowHeight="14.5" x14ac:dyDescent="0.35"/>
  <cols>
    <col min="3" max="3" width="38" customWidth="1"/>
    <col min="4" max="4" width="13.90625" customWidth="1"/>
    <col min="5" max="5" width="11.36328125" customWidth="1"/>
  </cols>
  <sheetData>
    <row r="3" spans="3:5" ht="18.5" x14ac:dyDescent="0.45">
      <c r="C3" s="22" t="s">
        <v>497</v>
      </c>
      <c r="D3" s="23"/>
      <c r="E3" s="24"/>
    </row>
    <row r="5" spans="3:5" x14ac:dyDescent="0.35">
      <c r="C5" s="7" t="s">
        <v>0</v>
      </c>
      <c r="D5" s="5" t="s">
        <v>1</v>
      </c>
      <c r="E5" s="6" t="s">
        <v>2</v>
      </c>
    </row>
    <row r="6" spans="3:5" x14ac:dyDescent="0.35">
      <c r="C6" s="8" t="s">
        <v>3</v>
      </c>
      <c r="D6" s="19">
        <v>190</v>
      </c>
      <c r="E6" s="20" t="s">
        <v>4</v>
      </c>
    </row>
    <row r="7" spans="3:5" x14ac:dyDescent="0.35">
      <c r="C7" s="8" t="s">
        <v>42</v>
      </c>
      <c r="D7" s="19" t="s">
        <v>396</v>
      </c>
      <c r="E7" s="20"/>
    </row>
    <row r="8" spans="3:5" x14ac:dyDescent="0.35">
      <c r="C8" s="8" t="s">
        <v>5</v>
      </c>
      <c r="D8" s="19">
        <f>_xlfn.XLOOKUP(D7,'Density - IS8730'!A2:A455,'Density - IS8730'!B2:B455)</f>
        <v>1.6</v>
      </c>
      <c r="E8" s="20" t="s">
        <v>6</v>
      </c>
    </row>
    <row r="9" spans="3:5" x14ac:dyDescent="0.35">
      <c r="C9" s="8" t="s">
        <v>524</v>
      </c>
      <c r="D9" s="19">
        <v>13</v>
      </c>
      <c r="E9" s="20" t="s">
        <v>8</v>
      </c>
    </row>
    <row r="10" spans="3:5" x14ac:dyDescent="0.35">
      <c r="C10" s="8" t="s">
        <v>7</v>
      </c>
      <c r="D10" s="19">
        <v>15</v>
      </c>
      <c r="E10" s="20" t="s">
        <v>8</v>
      </c>
    </row>
    <row r="11" spans="3:5" x14ac:dyDescent="0.35">
      <c r="C11" s="8" t="s">
        <v>527</v>
      </c>
      <c r="D11" s="1">
        <f>_xlfn.XLOOKUP(D9,'Reference Tables'!G4:G55,'Reference Tables'!H4:H55, ,1)</f>
        <v>15.7</v>
      </c>
      <c r="E11" s="2" t="s">
        <v>528</v>
      </c>
    </row>
    <row r="12" spans="3:5" x14ac:dyDescent="0.35">
      <c r="C12" s="8" t="s">
        <v>529</v>
      </c>
      <c r="D12" s="1">
        <f>_xlfn.XLOOKUP(D8,'Reference Tables'!B19:B27,'Reference Tables'!C19:C27, ,1)</f>
        <v>1</v>
      </c>
      <c r="E12" s="2"/>
    </row>
    <row r="13" spans="3:5" x14ac:dyDescent="0.35">
      <c r="C13" s="8" t="s">
        <v>531</v>
      </c>
      <c r="D13" s="1">
        <f>_xlfn.XLOOKUP(D35,'Reference Tables'!K5:K23,'Reference Tables'!L5:L23, ,1)</f>
        <v>0.95</v>
      </c>
      <c r="E13" s="2"/>
    </row>
    <row r="14" spans="3:5" x14ac:dyDescent="0.35">
      <c r="C14" s="8" t="s">
        <v>537</v>
      </c>
      <c r="D14" s="1">
        <f>_xlfn.XLOOKUP(D23,'Reference Tables'!K27:K42,'Reference Tables'!L27:L42, ,1)</f>
        <v>1.1000000000000001</v>
      </c>
      <c r="E14" s="2"/>
    </row>
    <row r="15" spans="3:5" x14ac:dyDescent="0.35">
      <c r="C15" s="8" t="s">
        <v>539</v>
      </c>
      <c r="D15" s="1">
        <v>0.96</v>
      </c>
      <c r="E15" s="2"/>
    </row>
    <row r="16" spans="3:5" x14ac:dyDescent="0.35">
      <c r="C16" s="8" t="s">
        <v>543</v>
      </c>
      <c r="D16" s="1">
        <f>IF((D10-D9)&gt;16,3.5,4.5)</f>
        <v>4.5</v>
      </c>
      <c r="E16" s="2"/>
    </row>
    <row r="17" spans="3:5" x14ac:dyDescent="0.35">
      <c r="C17" s="8" t="s">
        <v>521</v>
      </c>
      <c r="D17" s="19">
        <v>7</v>
      </c>
      <c r="E17" s="20" t="s">
        <v>522</v>
      </c>
    </row>
    <row r="18" spans="3:5" x14ac:dyDescent="0.35">
      <c r="C18" s="8" t="s">
        <v>545</v>
      </c>
      <c r="D18" s="19" t="s">
        <v>502</v>
      </c>
      <c r="E18" s="20"/>
    </row>
    <row r="19" spans="3:5" x14ac:dyDescent="0.35">
      <c r="C19" s="8" t="s">
        <v>506</v>
      </c>
      <c r="D19" s="19" t="s">
        <v>507</v>
      </c>
      <c r="E19" s="20"/>
    </row>
    <row r="20" spans="3:5" x14ac:dyDescent="0.35">
      <c r="C20" s="8" t="s">
        <v>40</v>
      </c>
      <c r="D20" s="1">
        <f>_xlfn.XLOOKUP(D18,'Reference Tables'!B4:B7,'Reference Tables'!C4:C7)</f>
        <v>0.9</v>
      </c>
      <c r="E20" s="2"/>
    </row>
    <row r="21" spans="3:5" x14ac:dyDescent="0.35">
      <c r="C21" s="8" t="s">
        <v>10</v>
      </c>
      <c r="D21" s="1">
        <f>_xlfn.XLOOKUP(D19,'Reference Tables'!B12:B15,'Reference Tables'!C12:C15)</f>
        <v>1.1000000000000001</v>
      </c>
      <c r="E21" s="2"/>
    </row>
    <row r="22" spans="3:5" x14ac:dyDescent="0.35">
      <c r="C22" s="8" t="s">
        <v>540</v>
      </c>
      <c r="D22" s="1">
        <f>_xlfn.XLOOKUP(D17,'Reference Tables'!B41:B61,'Reference Tables'!C41:C61,,1)</f>
        <v>1.25</v>
      </c>
      <c r="E22" s="2"/>
    </row>
    <row r="23" spans="3:5" x14ac:dyDescent="0.35">
      <c r="C23" s="8" t="s">
        <v>11</v>
      </c>
      <c r="D23" s="1">
        <v>90</v>
      </c>
      <c r="E23" s="2" t="s">
        <v>12</v>
      </c>
    </row>
    <row r="24" spans="3:5" x14ac:dyDescent="0.35">
      <c r="C24" s="8" t="s">
        <v>13</v>
      </c>
      <c r="D24" s="1">
        <v>0.95</v>
      </c>
      <c r="E24" s="2"/>
    </row>
    <row r="25" spans="3:5" x14ac:dyDescent="0.35">
      <c r="C25" s="8" t="s">
        <v>511</v>
      </c>
      <c r="D25" s="1" cm="1">
        <f t="array" ref="D25">_xlfn.IFS(D28=1,1,D28=2,0.9,D28=3,0.8,D28=4,0.7,D28=5,0.6)</f>
        <v>0.8</v>
      </c>
      <c r="E25" s="2"/>
    </row>
    <row r="26" spans="3:5" x14ac:dyDescent="0.35">
      <c r="C26" s="8" t="s">
        <v>544</v>
      </c>
      <c r="D26" s="1">
        <v>6</v>
      </c>
      <c r="E26" s="2" t="s">
        <v>8</v>
      </c>
    </row>
    <row r="27" spans="3:5" x14ac:dyDescent="0.35">
      <c r="C27" s="8" t="s">
        <v>14</v>
      </c>
      <c r="D27" s="19" t="s">
        <v>15</v>
      </c>
      <c r="E27" s="20"/>
    </row>
    <row r="28" spans="3:5" x14ac:dyDescent="0.35">
      <c r="C28" s="8" t="s">
        <v>16</v>
      </c>
      <c r="D28" s="19">
        <v>3</v>
      </c>
      <c r="E28" s="20"/>
    </row>
    <row r="29" spans="3:5" x14ac:dyDescent="0.35">
      <c r="C29" s="8" t="s">
        <v>512</v>
      </c>
      <c r="D29" s="1">
        <f>_xlfn.XLOOKUP(D27,'Reference Tables'!K46:K48,'Reference Tables'!L46:L48)</f>
        <v>0.2</v>
      </c>
      <c r="E29" s="2" t="s">
        <v>37</v>
      </c>
    </row>
    <row r="30" spans="3:5" x14ac:dyDescent="0.35">
      <c r="C30" s="8" t="s">
        <v>17</v>
      </c>
      <c r="D30" s="19">
        <v>8</v>
      </c>
      <c r="E30" s="20" t="s">
        <v>8</v>
      </c>
    </row>
    <row r="31" spans="3:5" x14ac:dyDescent="0.35">
      <c r="C31" s="8" t="s">
        <v>498</v>
      </c>
      <c r="D31" s="19">
        <v>950</v>
      </c>
      <c r="E31" s="20" t="s">
        <v>18</v>
      </c>
    </row>
    <row r="32" spans="3:5" x14ac:dyDescent="0.35">
      <c r="C32" s="8" t="s">
        <v>546</v>
      </c>
      <c r="D32" s="19">
        <v>202</v>
      </c>
      <c r="E32" s="20" t="s">
        <v>35</v>
      </c>
    </row>
    <row r="33" spans="3:5" x14ac:dyDescent="0.35">
      <c r="C33" s="8" t="s">
        <v>499</v>
      </c>
      <c r="D33" s="1">
        <v>90</v>
      </c>
      <c r="E33" s="2" t="s">
        <v>12</v>
      </c>
    </row>
    <row r="34" spans="3:5" x14ac:dyDescent="0.35">
      <c r="C34" s="8" t="s">
        <v>19</v>
      </c>
      <c r="D34" s="1">
        <f>(D9/D10)*100</f>
        <v>86.666666666666671</v>
      </c>
      <c r="E34" s="2" t="s">
        <v>12</v>
      </c>
    </row>
    <row r="35" spans="3:5" x14ac:dyDescent="0.35">
      <c r="C35" s="9" t="s">
        <v>20</v>
      </c>
      <c r="D35" s="3">
        <f>_xlfn.XLOOKUP(D10-D9,'Reference Tables'!B32:B36,'Reference Tables'!C32:C36, , 1)</f>
        <v>13.7</v>
      </c>
      <c r="E35" s="4" t="s">
        <v>12</v>
      </c>
    </row>
    <row r="38" spans="3:5" x14ac:dyDescent="0.35">
      <c r="C38" s="10" t="s">
        <v>21</v>
      </c>
      <c r="D38" s="11" t="s">
        <v>41</v>
      </c>
      <c r="E38" s="12" t="s">
        <v>2</v>
      </c>
    </row>
    <row r="39" spans="3:5" x14ac:dyDescent="0.35">
      <c r="C39" s="8" t="s">
        <v>22</v>
      </c>
      <c r="D39" s="1">
        <f>IF(D10&lt;=5,8,IF(D10&lt;=10,15,IF(D10&lt;=25,30,50)))</f>
        <v>30</v>
      </c>
      <c r="E39" s="2" t="s">
        <v>23</v>
      </c>
    </row>
    <row r="40" spans="3:5" x14ac:dyDescent="0.35">
      <c r="C40" s="8" t="s">
        <v>24</v>
      </c>
      <c r="D40" s="1">
        <f>D23/100</f>
        <v>0.9</v>
      </c>
      <c r="E40" s="2" t="s">
        <v>9</v>
      </c>
    </row>
    <row r="41" spans="3:5" x14ac:dyDescent="0.35">
      <c r="C41" s="8" t="s">
        <v>25</v>
      </c>
      <c r="D41" s="1">
        <f>D6/(D11*D12*D13*D14*D15*D20*D21*D24*D25*D22)</f>
        <v>12.826484042160754</v>
      </c>
      <c r="E41" s="2" t="s">
        <v>26</v>
      </c>
    </row>
    <row r="42" spans="3:5" x14ac:dyDescent="0.35">
      <c r="C42" s="8" t="s">
        <v>519</v>
      </c>
      <c r="D42" s="1">
        <f>IF(D6&lt;50,1.2,IF(D6&lt;150,1.8,IF(D6&lt;300,2.4,3)))</f>
        <v>2.4</v>
      </c>
      <c r="E42" s="2" t="s">
        <v>27</v>
      </c>
    </row>
    <row r="43" spans="3:5" x14ac:dyDescent="0.35">
      <c r="C43" s="8" t="s">
        <v>520</v>
      </c>
      <c r="D43" s="1">
        <f>D41/D42</f>
        <v>5.3443683509003144</v>
      </c>
      <c r="E43" s="2" t="s">
        <v>27</v>
      </c>
    </row>
    <row r="44" spans="3:5" x14ac:dyDescent="0.35">
      <c r="C44" s="8" t="s">
        <v>523</v>
      </c>
      <c r="D44" s="1">
        <f>SQRT((D16*90000)/D26)</f>
        <v>259.8076211353316</v>
      </c>
      <c r="E44" s="2" t="s">
        <v>18</v>
      </c>
    </row>
    <row r="45" spans="3:5" x14ac:dyDescent="0.35">
      <c r="C45" s="8" t="s">
        <v>28</v>
      </c>
      <c r="D45" s="1">
        <f>D43/D42</f>
        <v>2.2268201462084645</v>
      </c>
      <c r="E45" s="2" t="s">
        <v>9</v>
      </c>
    </row>
    <row r="46" spans="3:5" x14ac:dyDescent="0.35">
      <c r="C46" s="8" t="s">
        <v>29</v>
      </c>
      <c r="D46" s="1">
        <f>(2*PI()*D31)/60</f>
        <v>99.48376736367679</v>
      </c>
      <c r="E46" s="2" t="s">
        <v>30</v>
      </c>
    </row>
    <row r="47" spans="3:5" x14ac:dyDescent="0.35">
      <c r="C47" s="8" t="s">
        <v>31</v>
      </c>
      <c r="D47" s="1">
        <f>D30/2000</f>
        <v>4.0000000000000001E-3</v>
      </c>
      <c r="E47" s="2" t="s">
        <v>27</v>
      </c>
    </row>
    <row r="48" spans="3:5" x14ac:dyDescent="0.35">
      <c r="C48" s="8" t="s">
        <v>32</v>
      </c>
      <c r="D48" s="1">
        <f>(D46^2*D47)/9.81</f>
        <v>4.0354821483670387</v>
      </c>
      <c r="E48" s="2" t="s">
        <v>33</v>
      </c>
    </row>
    <row r="49" spans="3:5" x14ac:dyDescent="0.35">
      <c r="C49" s="8" t="s">
        <v>34</v>
      </c>
      <c r="D49" s="1">
        <f>D41*2500*(1+D48/10)</f>
        <v>45006.47195001549</v>
      </c>
      <c r="E49" s="2" t="s">
        <v>35</v>
      </c>
    </row>
    <row r="50" spans="3:5" x14ac:dyDescent="0.35">
      <c r="C50" s="8" t="s">
        <v>36</v>
      </c>
      <c r="D50" s="1">
        <f>((D26/1000)*3.14*D44*(1/TAN(ATAN(D17))))/30</f>
        <v>2.3308455153284023E-2</v>
      </c>
      <c r="E50" s="2" t="s">
        <v>37</v>
      </c>
    </row>
    <row r="51" spans="3:5" x14ac:dyDescent="0.35">
      <c r="C51" s="8" t="s">
        <v>38</v>
      </c>
      <c r="D51" s="1">
        <f>D6/(3600*D50*D42*D8)</f>
        <v>0.58966640528411352</v>
      </c>
      <c r="E51" s="2" t="s">
        <v>27</v>
      </c>
    </row>
    <row r="52" spans="3:5" x14ac:dyDescent="0.35">
      <c r="C52" s="8" t="s">
        <v>515</v>
      </c>
      <c r="D52" s="1">
        <f>D49*D47*D46*D46</f>
        <v>1781719.8064707927</v>
      </c>
      <c r="E52" s="2" t="s">
        <v>518</v>
      </c>
    </row>
    <row r="53" spans="3:5" x14ac:dyDescent="0.35">
      <c r="C53" s="8" t="s">
        <v>516</v>
      </c>
      <c r="D53" s="1">
        <f>(1.775*D32*D50*1000)/D44</f>
        <v>32.167057142857125</v>
      </c>
      <c r="E53" s="2" t="s">
        <v>517</v>
      </c>
    </row>
    <row r="54" spans="3:5" x14ac:dyDescent="0.35">
      <c r="C54" s="9" t="s">
        <v>39</v>
      </c>
      <c r="D54" s="3">
        <f>((D34*(D33-D35))/(D33*(D34-D35)))*100-10</f>
        <v>90.69539617278312</v>
      </c>
      <c r="E54" s="4" t="s">
        <v>12</v>
      </c>
    </row>
  </sheetData>
  <mergeCells count="1">
    <mergeCell ref="C3:E3"/>
  </mergeCells>
  <dataValidations disablePrompts="1" count="3">
    <dataValidation type="list" sqref="D27" xr:uid="{00000000-0002-0000-0000-000000000000}">
      <formula1>"Linear,Circular,Elliptical"</formula1>
    </dataValidation>
    <dataValidation type="list" sqref="D28" xr:uid="{00000000-0002-0000-0000-000001000000}">
      <formula1>"1,2,3"</formula1>
    </dataValidation>
    <dataValidation sqref="D29" xr:uid="{01F52BD6-4E0E-4B9D-98F9-5F450711283D}"/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FCA9B7C8-E2A0-4BEF-BFBC-97A16D173147}">
          <x14:formula1>
            <xm:f>'Density - IS8730'!$A$2:$A$455</xm:f>
          </x14:formula1>
          <xm:sqref>D7</xm:sqref>
        </x14:dataValidation>
        <x14:dataValidation type="list" allowBlank="1" showInputMessage="1" showErrorMessage="1" xr:uid="{E830685C-2B27-47D4-B2D6-33323DEE970E}">
          <x14:formula1>
            <xm:f>'Reference Tables'!$B$4:$B$7</xm:f>
          </x14:formula1>
          <xm:sqref>D18</xm:sqref>
        </x14:dataValidation>
        <x14:dataValidation type="list" allowBlank="1" showInputMessage="1" showErrorMessage="1" xr:uid="{E1066206-020B-4A73-8698-A365E3148632}">
          <x14:formula1>
            <xm:f>'Reference Tables'!$B$12:$B$15</xm:f>
          </x14:formula1>
          <xm:sqref>D19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1FF17-90D8-49F5-84BB-17FFBC363CDD}">
  <dimension ref="A1:B455"/>
  <sheetViews>
    <sheetView topLeftCell="A423" zoomScale="101" zoomScaleNormal="70" workbookViewId="0">
      <selection activeCell="B434" sqref="B434"/>
    </sheetView>
  </sheetViews>
  <sheetFormatPr defaultRowHeight="13" x14ac:dyDescent="0.3"/>
  <cols>
    <col min="1" max="1" width="41.81640625" style="16" customWidth="1"/>
    <col min="2" max="2" width="22.90625" style="16" customWidth="1"/>
    <col min="3" max="16384" width="8.7265625" style="16"/>
  </cols>
  <sheetData>
    <row r="1" spans="1:2" s="14" customFormat="1" x14ac:dyDescent="0.3">
      <c r="A1" s="13" t="s">
        <v>42</v>
      </c>
      <c r="B1" s="13" t="s">
        <v>43</v>
      </c>
    </row>
    <row r="2" spans="1:2" x14ac:dyDescent="0.3">
      <c r="A2" s="15" t="s">
        <v>44</v>
      </c>
      <c r="B2" s="15">
        <v>0.72</v>
      </c>
    </row>
    <row r="3" spans="1:2" x14ac:dyDescent="0.3">
      <c r="A3" s="15" t="s">
        <v>45</v>
      </c>
      <c r="B3" s="15">
        <v>0.2</v>
      </c>
    </row>
    <row r="4" spans="1:2" x14ac:dyDescent="0.3">
      <c r="A4" s="15" t="s">
        <v>46</v>
      </c>
      <c r="B4" s="15">
        <v>0.27200000000000002</v>
      </c>
    </row>
    <row r="5" spans="1:2" x14ac:dyDescent="0.3">
      <c r="A5" s="15" t="s">
        <v>47</v>
      </c>
      <c r="B5" s="15">
        <v>0.46400000000000002</v>
      </c>
    </row>
    <row r="6" spans="1:2" x14ac:dyDescent="0.3">
      <c r="A6" s="15" t="s">
        <v>48</v>
      </c>
      <c r="B6" s="15">
        <v>0.76</v>
      </c>
    </row>
    <row r="7" spans="1:2" x14ac:dyDescent="0.3">
      <c r="A7" s="15" t="s">
        <v>49</v>
      </c>
      <c r="B7" s="15">
        <v>0.88</v>
      </c>
    </row>
    <row r="8" spans="1:2" x14ac:dyDescent="0.3">
      <c r="A8" s="15" t="s">
        <v>50</v>
      </c>
      <c r="B8" s="15">
        <v>0.76</v>
      </c>
    </row>
    <row r="9" spans="1:2" x14ac:dyDescent="0.3">
      <c r="A9" s="15" t="s">
        <v>51</v>
      </c>
      <c r="B9" s="15">
        <v>0.92</v>
      </c>
    </row>
    <row r="10" spans="1:2" x14ac:dyDescent="0.3">
      <c r="A10" s="15" t="s">
        <v>52</v>
      </c>
      <c r="B10" s="15">
        <v>0.72</v>
      </c>
    </row>
    <row r="11" spans="1:2" x14ac:dyDescent="0.3">
      <c r="A11" s="15" t="s">
        <v>53</v>
      </c>
      <c r="B11" s="15">
        <v>0.17499999999999999</v>
      </c>
    </row>
    <row r="12" spans="1:2" x14ac:dyDescent="0.3">
      <c r="A12" s="15" t="s">
        <v>54</v>
      </c>
      <c r="B12" s="15">
        <v>0.28799999999999998</v>
      </c>
    </row>
    <row r="13" spans="1:2" x14ac:dyDescent="0.3">
      <c r="A13" s="15" t="s">
        <v>55</v>
      </c>
      <c r="B13" s="15">
        <v>1.5</v>
      </c>
    </row>
    <row r="14" spans="1:2" x14ac:dyDescent="0.3">
      <c r="A14" s="15" t="s">
        <v>56</v>
      </c>
      <c r="B14" s="15">
        <v>0.78400000000000003</v>
      </c>
    </row>
    <row r="15" spans="1:2" x14ac:dyDescent="0.3">
      <c r="A15" s="15" t="s">
        <v>57</v>
      </c>
      <c r="B15" s="15">
        <v>0.86</v>
      </c>
    </row>
    <row r="16" spans="1:2" x14ac:dyDescent="0.3">
      <c r="A16" s="15" t="s">
        <v>58</v>
      </c>
      <c r="B16" s="15">
        <v>0.83199999999999996</v>
      </c>
    </row>
    <row r="17" spans="1:2" x14ac:dyDescent="0.3">
      <c r="A17" s="15" t="s">
        <v>59</v>
      </c>
      <c r="B17" s="15">
        <v>0.86</v>
      </c>
    </row>
    <row r="18" spans="1:2" x14ac:dyDescent="0.3">
      <c r="A18" s="15" t="s">
        <v>60</v>
      </c>
      <c r="B18" s="15">
        <v>0.99</v>
      </c>
    </row>
    <row r="19" spans="1:2" x14ac:dyDescent="0.3">
      <c r="A19" s="15" t="s">
        <v>61</v>
      </c>
      <c r="B19" s="15">
        <v>0.82399999999999995</v>
      </c>
    </row>
    <row r="20" spans="1:2" x14ac:dyDescent="0.3">
      <c r="A20" s="15" t="s">
        <v>62</v>
      </c>
      <c r="B20" s="15">
        <v>0.24</v>
      </c>
    </row>
    <row r="21" spans="1:2" x14ac:dyDescent="0.3">
      <c r="A21" s="15" t="s">
        <v>63</v>
      </c>
      <c r="B21" s="15">
        <v>1.76</v>
      </c>
    </row>
    <row r="22" spans="1:2" x14ac:dyDescent="0.3">
      <c r="A22" s="15" t="s">
        <v>64</v>
      </c>
      <c r="B22" s="15">
        <v>0.48</v>
      </c>
    </row>
    <row r="23" spans="1:2" x14ac:dyDescent="0.3">
      <c r="A23" s="15" t="s">
        <v>65</v>
      </c>
      <c r="B23" s="15">
        <v>1.296</v>
      </c>
    </row>
    <row r="24" spans="1:2" x14ac:dyDescent="0.3">
      <c r="A24" s="15" t="s">
        <v>66</v>
      </c>
      <c r="B24" s="15">
        <v>0.36</v>
      </c>
    </row>
    <row r="25" spans="1:2" x14ac:dyDescent="0.3">
      <c r="A25" s="15" t="s">
        <v>67</v>
      </c>
      <c r="B25" s="15">
        <v>1.68</v>
      </c>
    </row>
    <row r="26" spans="1:2" x14ac:dyDescent="0.3">
      <c r="A26" s="15" t="s">
        <v>68</v>
      </c>
      <c r="B26" s="15">
        <v>0.5</v>
      </c>
    </row>
    <row r="27" spans="1:2" x14ac:dyDescent="0.3">
      <c r="A27" s="15" t="s">
        <v>69</v>
      </c>
      <c r="B27" s="15">
        <v>0.6</v>
      </c>
    </row>
    <row r="28" spans="1:2" x14ac:dyDescent="0.3">
      <c r="A28" s="15" t="s">
        <v>70</v>
      </c>
      <c r="B28" s="15">
        <v>0.76</v>
      </c>
    </row>
    <row r="29" spans="1:2" x14ac:dyDescent="0.3">
      <c r="A29" s="15" t="s">
        <v>71</v>
      </c>
      <c r="B29" s="15">
        <v>0.76</v>
      </c>
    </row>
    <row r="30" spans="1:2" x14ac:dyDescent="0.3">
      <c r="A30" s="15" t="s">
        <v>72</v>
      </c>
      <c r="B30" s="15">
        <v>0.68</v>
      </c>
    </row>
    <row r="31" spans="1:2" x14ac:dyDescent="0.3">
      <c r="A31" s="15" t="s">
        <v>73</v>
      </c>
      <c r="B31" s="15">
        <v>1.248</v>
      </c>
    </row>
    <row r="32" spans="1:2" x14ac:dyDescent="0.3">
      <c r="A32" s="15" t="s">
        <v>74</v>
      </c>
      <c r="B32" s="15">
        <v>1.32</v>
      </c>
    </row>
    <row r="33" spans="1:2" x14ac:dyDescent="0.3">
      <c r="A33" s="15" t="s">
        <v>75</v>
      </c>
      <c r="B33" s="15">
        <v>0.72</v>
      </c>
    </row>
    <row r="34" spans="1:2" x14ac:dyDescent="0.3">
      <c r="A34" s="15" t="s">
        <v>76</v>
      </c>
      <c r="B34" s="15">
        <v>0.13600000000000001</v>
      </c>
    </row>
    <row r="35" spans="1:2" x14ac:dyDescent="0.3">
      <c r="A35" s="15" t="s">
        <v>77</v>
      </c>
      <c r="B35" s="15">
        <v>0.56000000000000005</v>
      </c>
    </row>
    <row r="36" spans="1:2" x14ac:dyDescent="0.3">
      <c r="A36" s="15" t="s">
        <v>78</v>
      </c>
      <c r="B36" s="15">
        <v>0.65600000000000003</v>
      </c>
    </row>
    <row r="37" spans="1:2" x14ac:dyDescent="0.3">
      <c r="A37" s="15" t="s">
        <v>79</v>
      </c>
      <c r="B37" s="15">
        <v>2.88</v>
      </c>
    </row>
    <row r="38" spans="1:2" x14ac:dyDescent="0.3">
      <c r="A38" s="15" t="s">
        <v>80</v>
      </c>
      <c r="B38" s="15">
        <v>1.1519999999999999</v>
      </c>
    </row>
    <row r="39" spans="1:2" x14ac:dyDescent="0.3">
      <c r="A39" s="15" t="s">
        <v>81</v>
      </c>
      <c r="B39" s="15">
        <v>0.24</v>
      </c>
    </row>
    <row r="40" spans="1:2" x14ac:dyDescent="0.3">
      <c r="A40" s="15" t="s">
        <v>82</v>
      </c>
      <c r="B40" s="15">
        <v>0.46</v>
      </c>
    </row>
    <row r="41" spans="1:2" x14ac:dyDescent="0.3">
      <c r="A41" s="15" t="s">
        <v>83</v>
      </c>
      <c r="B41" s="15">
        <v>2.08</v>
      </c>
    </row>
    <row r="42" spans="1:2" x14ac:dyDescent="0.3">
      <c r="A42" s="15" t="s">
        <v>84</v>
      </c>
      <c r="B42" s="15">
        <v>2.08</v>
      </c>
    </row>
    <row r="43" spans="1:2" x14ac:dyDescent="0.3">
      <c r="A43" s="15" t="s">
        <v>85</v>
      </c>
      <c r="B43" s="15">
        <v>1.08</v>
      </c>
    </row>
    <row r="44" spans="1:2" x14ac:dyDescent="0.3">
      <c r="A44" s="15" t="s">
        <v>86</v>
      </c>
      <c r="B44" s="15">
        <v>1.36</v>
      </c>
    </row>
    <row r="45" spans="1:2" x14ac:dyDescent="0.3">
      <c r="A45" s="15" t="s">
        <v>87</v>
      </c>
      <c r="B45" s="15">
        <v>1.2749999999999999</v>
      </c>
    </row>
    <row r="46" spans="1:2" x14ac:dyDescent="0.3">
      <c r="A46" s="15" t="s">
        <v>88</v>
      </c>
      <c r="B46" s="15">
        <v>0.57599999999999996</v>
      </c>
    </row>
    <row r="47" spans="1:2" x14ac:dyDescent="0.3">
      <c r="A47" s="15" t="s">
        <v>89</v>
      </c>
      <c r="B47" s="15">
        <v>0.67800000000000005</v>
      </c>
    </row>
    <row r="48" spans="1:2" x14ac:dyDescent="0.3">
      <c r="A48" s="15" t="s">
        <v>90</v>
      </c>
      <c r="B48" s="15">
        <v>0.96</v>
      </c>
    </row>
    <row r="49" spans="1:2" x14ac:dyDescent="0.3">
      <c r="A49" s="15" t="s">
        <v>91</v>
      </c>
      <c r="B49" s="15">
        <v>0.216</v>
      </c>
    </row>
    <row r="50" spans="1:2" x14ac:dyDescent="0.3">
      <c r="A50" s="15" t="s">
        <v>92</v>
      </c>
      <c r="B50" s="15">
        <v>0.56000000000000005</v>
      </c>
    </row>
    <row r="51" spans="1:2" x14ac:dyDescent="0.3">
      <c r="A51" s="15" t="s">
        <v>93</v>
      </c>
      <c r="B51" s="15">
        <v>0.76800000000000002</v>
      </c>
    </row>
    <row r="52" spans="1:2" x14ac:dyDescent="0.3">
      <c r="A52" s="15" t="s">
        <v>94</v>
      </c>
      <c r="B52" s="15">
        <v>0.59199999999999997</v>
      </c>
    </row>
    <row r="53" spans="1:2" x14ac:dyDescent="0.3">
      <c r="A53" s="15" t="s">
        <v>95</v>
      </c>
      <c r="B53" s="15">
        <v>0.88</v>
      </c>
    </row>
    <row r="54" spans="1:2" x14ac:dyDescent="0.3">
      <c r="A54" s="15" t="s">
        <v>96</v>
      </c>
      <c r="B54" s="15">
        <v>0.89600000000000002</v>
      </c>
    </row>
    <row r="55" spans="1:2" x14ac:dyDescent="0.3">
      <c r="A55" s="15" t="s">
        <v>97</v>
      </c>
      <c r="B55" s="15">
        <v>0.65600000000000003</v>
      </c>
    </row>
    <row r="56" spans="1:2" x14ac:dyDescent="0.3">
      <c r="A56" s="15" t="s">
        <v>98</v>
      </c>
      <c r="B56" s="15">
        <v>0.64</v>
      </c>
    </row>
    <row r="57" spans="1:2" x14ac:dyDescent="0.3">
      <c r="A57" s="15" t="s">
        <v>99</v>
      </c>
      <c r="B57" s="15">
        <v>0.60499999999999998</v>
      </c>
    </row>
    <row r="58" spans="1:2" x14ac:dyDescent="0.3">
      <c r="A58" s="15" t="s">
        <v>100</v>
      </c>
      <c r="B58" s="15">
        <v>0.8</v>
      </c>
    </row>
    <row r="59" spans="1:2" x14ac:dyDescent="0.3">
      <c r="A59" s="15" t="s">
        <v>101</v>
      </c>
      <c r="B59" s="15">
        <v>0.59199999999999997</v>
      </c>
    </row>
    <row r="60" spans="1:2" x14ac:dyDescent="0.3">
      <c r="A60" s="15" t="s">
        <v>102</v>
      </c>
      <c r="B60" s="15">
        <v>0.36</v>
      </c>
    </row>
    <row r="61" spans="1:2" x14ac:dyDescent="0.3">
      <c r="A61" s="15" t="s">
        <v>103</v>
      </c>
      <c r="B61" s="15">
        <v>0.53600000000000003</v>
      </c>
    </row>
    <row r="62" spans="1:2" x14ac:dyDescent="0.3">
      <c r="A62" s="15" t="s">
        <v>104</v>
      </c>
      <c r="B62" s="15">
        <v>0.92</v>
      </c>
    </row>
    <row r="63" spans="1:2" x14ac:dyDescent="0.3">
      <c r="A63" s="15" t="s">
        <v>105</v>
      </c>
      <c r="B63" s="15">
        <v>0.96</v>
      </c>
    </row>
    <row r="64" spans="1:2" x14ac:dyDescent="0.3">
      <c r="A64" s="15" t="s">
        <v>106</v>
      </c>
      <c r="B64" s="15">
        <v>1</v>
      </c>
    </row>
    <row r="65" spans="1:2" x14ac:dyDescent="0.3">
      <c r="A65" s="15" t="s">
        <v>107</v>
      </c>
      <c r="B65" s="15">
        <v>0.92</v>
      </c>
    </row>
    <row r="66" spans="1:2" x14ac:dyDescent="0.3">
      <c r="A66" s="15" t="s">
        <v>108</v>
      </c>
      <c r="B66" s="15">
        <v>0.92</v>
      </c>
    </row>
    <row r="67" spans="1:2" x14ac:dyDescent="0.3">
      <c r="A67" s="15" t="s">
        <v>109</v>
      </c>
      <c r="B67" s="15">
        <v>0.85</v>
      </c>
    </row>
    <row r="68" spans="1:2" x14ac:dyDescent="0.3">
      <c r="A68" s="15" t="s">
        <v>110</v>
      </c>
      <c r="B68" s="15">
        <v>0.88</v>
      </c>
    </row>
    <row r="69" spans="1:2" x14ac:dyDescent="0.3">
      <c r="A69" s="15" t="s">
        <v>111</v>
      </c>
      <c r="B69" s="15">
        <v>1.2</v>
      </c>
    </row>
    <row r="70" spans="1:2" x14ac:dyDescent="0.3">
      <c r="A70" s="15" t="s">
        <v>112</v>
      </c>
      <c r="B70" s="15">
        <v>0.28799999999999998</v>
      </c>
    </row>
    <row r="71" spans="1:2" x14ac:dyDescent="0.3">
      <c r="A71" s="15" t="s">
        <v>113</v>
      </c>
      <c r="B71" s="15">
        <v>0.44</v>
      </c>
    </row>
    <row r="72" spans="1:2" x14ac:dyDescent="0.3">
      <c r="A72" s="15" t="s">
        <v>114</v>
      </c>
      <c r="B72" s="15">
        <v>0.92</v>
      </c>
    </row>
    <row r="73" spans="1:2" x14ac:dyDescent="0.3">
      <c r="A73" s="15" t="s">
        <v>115</v>
      </c>
      <c r="B73" s="15">
        <v>2</v>
      </c>
    </row>
    <row r="74" spans="1:2" x14ac:dyDescent="0.3">
      <c r="A74" s="15" t="s">
        <v>116</v>
      </c>
      <c r="B74" s="15">
        <v>1.6</v>
      </c>
    </row>
    <row r="75" spans="1:2" x14ac:dyDescent="0.3">
      <c r="A75" s="15" t="s">
        <v>117</v>
      </c>
      <c r="B75" s="15">
        <v>0.64</v>
      </c>
    </row>
    <row r="76" spans="1:2" x14ac:dyDescent="0.3">
      <c r="A76" s="15" t="s">
        <v>118</v>
      </c>
      <c r="B76" s="15">
        <v>0.65600000000000003</v>
      </c>
    </row>
    <row r="77" spans="1:2" x14ac:dyDescent="0.3">
      <c r="A77" s="15" t="s">
        <v>119</v>
      </c>
      <c r="B77" s="15">
        <v>2</v>
      </c>
    </row>
    <row r="78" spans="1:2" x14ac:dyDescent="0.3">
      <c r="A78" s="15" t="s">
        <v>120</v>
      </c>
      <c r="B78" s="15">
        <v>1.2</v>
      </c>
    </row>
    <row r="79" spans="1:2" x14ac:dyDescent="0.3">
      <c r="A79" s="15" t="s">
        <v>121</v>
      </c>
      <c r="B79" s="15">
        <v>0.44</v>
      </c>
    </row>
    <row r="80" spans="1:2" x14ac:dyDescent="0.3">
      <c r="A80" s="15" t="s">
        <v>122</v>
      </c>
      <c r="B80" s="15">
        <v>0.224</v>
      </c>
    </row>
    <row r="81" spans="1:2" x14ac:dyDescent="0.3">
      <c r="A81" s="15" t="s">
        <v>123</v>
      </c>
      <c r="B81" s="15">
        <v>0.64</v>
      </c>
    </row>
    <row r="82" spans="1:2" x14ac:dyDescent="0.3">
      <c r="A82" s="15" t="s">
        <v>124</v>
      </c>
      <c r="B82" s="15">
        <v>8.7999999999999995E-2</v>
      </c>
    </row>
    <row r="83" spans="1:2" x14ac:dyDescent="0.3">
      <c r="A83" s="15" t="s">
        <v>125</v>
      </c>
      <c r="B83" s="15">
        <v>1.6</v>
      </c>
    </row>
    <row r="84" spans="1:2" x14ac:dyDescent="0.3">
      <c r="A84" s="15" t="s">
        <v>126</v>
      </c>
      <c r="B84" s="15">
        <v>0.57599999999999996</v>
      </c>
    </row>
    <row r="85" spans="1:2" x14ac:dyDescent="0.3">
      <c r="A85" s="15" t="s">
        <v>127</v>
      </c>
      <c r="B85" s="15">
        <v>0.55200000000000005</v>
      </c>
    </row>
    <row r="86" spans="1:2" x14ac:dyDescent="0.3">
      <c r="A86" s="15" t="s">
        <v>128</v>
      </c>
      <c r="B86" s="15">
        <v>2.64</v>
      </c>
    </row>
    <row r="87" spans="1:2" x14ac:dyDescent="0.3">
      <c r="A87" s="15" t="s">
        <v>129</v>
      </c>
      <c r="B87" s="15">
        <v>1.5</v>
      </c>
    </row>
    <row r="88" spans="1:2" x14ac:dyDescent="0.3">
      <c r="A88" s="15" t="s">
        <v>130</v>
      </c>
      <c r="B88" s="15">
        <v>1.08</v>
      </c>
    </row>
    <row r="89" spans="1:2" x14ac:dyDescent="0.3">
      <c r="A89" s="15" t="s">
        <v>131</v>
      </c>
      <c r="B89" s="15">
        <v>1.68</v>
      </c>
    </row>
    <row r="90" spans="1:2" x14ac:dyDescent="0.3">
      <c r="A90" s="15" t="s">
        <v>132</v>
      </c>
      <c r="B90" s="15">
        <v>1.36</v>
      </c>
    </row>
    <row r="91" spans="1:2" x14ac:dyDescent="0.3">
      <c r="A91" s="15" t="s">
        <v>133</v>
      </c>
      <c r="B91" s="15">
        <v>2.1280000000000001</v>
      </c>
    </row>
    <row r="92" spans="1:2" x14ac:dyDescent="0.3">
      <c r="A92" s="15" t="s">
        <v>134</v>
      </c>
      <c r="B92" s="15">
        <v>1.25</v>
      </c>
    </row>
    <row r="93" spans="1:2" x14ac:dyDescent="0.3">
      <c r="A93" s="15" t="s">
        <v>135</v>
      </c>
      <c r="B93" s="15">
        <v>1.1599999999999999</v>
      </c>
    </row>
    <row r="94" spans="1:2" x14ac:dyDescent="0.3">
      <c r="A94" s="15" t="s">
        <v>136</v>
      </c>
      <c r="B94" s="15">
        <v>0.37</v>
      </c>
    </row>
    <row r="95" spans="1:2" x14ac:dyDescent="0.3">
      <c r="A95" s="15" t="s">
        <v>137</v>
      </c>
      <c r="B95" s="15">
        <v>0.36799999999999999</v>
      </c>
    </row>
    <row r="96" spans="1:2" x14ac:dyDescent="0.3">
      <c r="A96" s="15" t="s">
        <v>138</v>
      </c>
      <c r="B96" s="15">
        <v>0.36</v>
      </c>
    </row>
    <row r="97" spans="1:2" x14ac:dyDescent="0.3">
      <c r="A97" s="15" t="s">
        <v>139</v>
      </c>
      <c r="B97" s="15">
        <v>0.33600000000000002</v>
      </c>
    </row>
    <row r="98" spans="1:2" x14ac:dyDescent="0.3">
      <c r="A98" s="15" t="s">
        <v>140</v>
      </c>
      <c r="B98" s="15">
        <v>0.32</v>
      </c>
    </row>
    <row r="99" spans="1:2" x14ac:dyDescent="0.3">
      <c r="A99" s="15" t="s">
        <v>141</v>
      </c>
      <c r="B99" s="15">
        <v>0.68</v>
      </c>
    </row>
    <row r="100" spans="1:2" x14ac:dyDescent="0.3">
      <c r="A100" s="15" t="s">
        <v>142</v>
      </c>
      <c r="B100" s="15">
        <v>2.12</v>
      </c>
    </row>
    <row r="101" spans="1:2" x14ac:dyDescent="0.3">
      <c r="A101" s="15" t="s">
        <v>143</v>
      </c>
      <c r="B101" s="15">
        <v>0.91200000000000003</v>
      </c>
    </row>
    <row r="102" spans="1:2" x14ac:dyDescent="0.3">
      <c r="A102" s="15" t="s">
        <v>144</v>
      </c>
      <c r="B102" s="15">
        <v>0.64</v>
      </c>
    </row>
    <row r="103" spans="1:2" x14ac:dyDescent="0.3">
      <c r="A103" s="15" t="s">
        <v>145</v>
      </c>
      <c r="B103" s="15">
        <v>1.28</v>
      </c>
    </row>
    <row r="104" spans="1:2" x14ac:dyDescent="0.3">
      <c r="A104" s="15" t="s">
        <v>146</v>
      </c>
      <c r="B104" s="15">
        <v>1.76</v>
      </c>
    </row>
    <row r="105" spans="1:2" x14ac:dyDescent="0.3">
      <c r="A105" s="15" t="s">
        <v>147</v>
      </c>
      <c r="B105" s="15">
        <v>1.08</v>
      </c>
    </row>
    <row r="106" spans="1:2" x14ac:dyDescent="0.3">
      <c r="A106" s="15" t="s">
        <v>132</v>
      </c>
      <c r="B106" s="15">
        <v>1.36</v>
      </c>
    </row>
    <row r="107" spans="1:2" x14ac:dyDescent="0.3">
      <c r="A107" s="15" t="s">
        <v>148</v>
      </c>
      <c r="B107" s="15">
        <v>0.76800000000000002</v>
      </c>
    </row>
    <row r="108" spans="1:2" x14ac:dyDescent="0.3">
      <c r="A108" s="15" t="s">
        <v>149</v>
      </c>
      <c r="B108" s="15">
        <v>0.86</v>
      </c>
    </row>
    <row r="109" spans="1:2" x14ac:dyDescent="0.3">
      <c r="A109" s="15" t="s">
        <v>150</v>
      </c>
      <c r="B109" s="15">
        <v>0.96</v>
      </c>
    </row>
    <row r="110" spans="1:2" x14ac:dyDescent="0.3">
      <c r="A110" s="15" t="s">
        <v>151</v>
      </c>
      <c r="B110" s="15">
        <v>0.96</v>
      </c>
    </row>
    <row r="111" spans="1:2" x14ac:dyDescent="0.3">
      <c r="A111" s="15" t="s">
        <v>152</v>
      </c>
      <c r="B111" s="15">
        <v>0.96</v>
      </c>
    </row>
    <row r="112" spans="1:2" x14ac:dyDescent="0.3">
      <c r="A112" s="15" t="s">
        <v>153</v>
      </c>
      <c r="B112" s="15">
        <v>0.96</v>
      </c>
    </row>
    <row r="113" spans="1:2" x14ac:dyDescent="0.3">
      <c r="A113" s="15" t="s">
        <v>154</v>
      </c>
      <c r="B113" s="15">
        <v>0.96</v>
      </c>
    </row>
    <row r="114" spans="1:2" x14ac:dyDescent="0.3">
      <c r="A114" s="15" t="s">
        <v>155</v>
      </c>
      <c r="B114" s="15">
        <v>0.96</v>
      </c>
    </row>
    <row r="115" spans="1:2" x14ac:dyDescent="0.3">
      <c r="A115" s="15" t="s">
        <v>156</v>
      </c>
      <c r="B115" s="15">
        <v>0.38400000000000001</v>
      </c>
    </row>
    <row r="116" spans="1:2" x14ac:dyDescent="0.3">
      <c r="A116" s="15" t="s">
        <v>157</v>
      </c>
      <c r="B116" s="15">
        <v>0.88</v>
      </c>
    </row>
    <row r="117" spans="1:2" x14ac:dyDescent="0.3">
      <c r="A117" s="15" t="s">
        <v>158</v>
      </c>
      <c r="B117" s="15">
        <v>0.53</v>
      </c>
    </row>
    <row r="118" spans="1:2" x14ac:dyDescent="0.3">
      <c r="A118" s="15" t="s">
        <v>159</v>
      </c>
      <c r="B118" s="15">
        <v>0.56000000000000005</v>
      </c>
    </row>
    <row r="119" spans="1:2" x14ac:dyDescent="0.3">
      <c r="A119" s="15" t="s">
        <v>160</v>
      </c>
      <c r="B119" s="15">
        <v>0.52</v>
      </c>
    </row>
    <row r="120" spans="1:2" x14ac:dyDescent="0.3">
      <c r="A120" s="15" t="s">
        <v>161</v>
      </c>
      <c r="B120" s="15">
        <v>0.33600000000000002</v>
      </c>
    </row>
    <row r="121" spans="1:2" x14ac:dyDescent="0.3">
      <c r="A121" s="15" t="s">
        <v>162</v>
      </c>
      <c r="B121" s="15">
        <v>0.32</v>
      </c>
    </row>
    <row r="122" spans="1:2" x14ac:dyDescent="0.3">
      <c r="A122" s="15" t="s">
        <v>163</v>
      </c>
      <c r="B122" s="15">
        <v>0.51200000000000001</v>
      </c>
    </row>
    <row r="123" spans="1:2" x14ac:dyDescent="0.3">
      <c r="A123" s="15" t="s">
        <v>164</v>
      </c>
      <c r="B123" s="15">
        <v>0.4</v>
      </c>
    </row>
    <row r="124" spans="1:2" x14ac:dyDescent="0.3">
      <c r="A124" s="15" t="s">
        <v>165</v>
      </c>
      <c r="B124" s="15">
        <v>0.38400000000000001</v>
      </c>
    </row>
    <row r="125" spans="1:2" x14ac:dyDescent="0.3">
      <c r="A125" s="15" t="s">
        <v>166</v>
      </c>
      <c r="B125" s="15">
        <v>0.30399999999999999</v>
      </c>
    </row>
    <row r="126" spans="1:2" x14ac:dyDescent="0.3">
      <c r="A126" s="15" t="s">
        <v>167</v>
      </c>
      <c r="B126" s="15">
        <v>0.44</v>
      </c>
    </row>
    <row r="127" spans="1:2" x14ac:dyDescent="0.3">
      <c r="A127" s="15" t="s">
        <v>168</v>
      </c>
      <c r="B127" s="15">
        <v>0.64</v>
      </c>
    </row>
    <row r="128" spans="1:2" x14ac:dyDescent="0.3">
      <c r="A128" s="15" t="s">
        <v>169</v>
      </c>
      <c r="B128" s="15">
        <v>0.48</v>
      </c>
    </row>
    <row r="129" spans="1:2" x14ac:dyDescent="0.3">
      <c r="A129" s="15" t="s">
        <v>170</v>
      </c>
      <c r="B129" s="15">
        <v>0.44800000000000001</v>
      </c>
    </row>
    <row r="130" spans="1:2" x14ac:dyDescent="0.3">
      <c r="A130" s="15" t="s">
        <v>171</v>
      </c>
      <c r="B130" s="15">
        <v>1.52</v>
      </c>
    </row>
    <row r="131" spans="1:2" x14ac:dyDescent="0.3">
      <c r="A131" s="15" t="s">
        <v>172</v>
      </c>
      <c r="B131" s="15">
        <v>2.08</v>
      </c>
    </row>
    <row r="132" spans="1:2" x14ac:dyDescent="0.3">
      <c r="A132" s="15" t="s">
        <v>173</v>
      </c>
      <c r="B132" s="15">
        <v>2.08</v>
      </c>
    </row>
    <row r="133" spans="1:2" x14ac:dyDescent="0.3">
      <c r="A133" s="15" t="s">
        <v>174</v>
      </c>
      <c r="B133" s="15">
        <v>2.08</v>
      </c>
    </row>
    <row r="134" spans="1:2" x14ac:dyDescent="0.3">
      <c r="A134" s="15" t="s">
        <v>175</v>
      </c>
      <c r="B134" s="15">
        <v>2.2400000000000002</v>
      </c>
    </row>
    <row r="135" spans="1:2" x14ac:dyDescent="0.3">
      <c r="A135" s="15" t="s">
        <v>176</v>
      </c>
      <c r="B135" s="15">
        <v>2.16</v>
      </c>
    </row>
    <row r="136" spans="1:2" x14ac:dyDescent="0.3">
      <c r="A136" s="15" t="s">
        <v>177</v>
      </c>
      <c r="B136" s="15">
        <v>2</v>
      </c>
    </row>
    <row r="137" spans="1:2" x14ac:dyDescent="0.3">
      <c r="A137" s="15" t="s">
        <v>178</v>
      </c>
      <c r="B137" s="15">
        <v>1.28</v>
      </c>
    </row>
    <row r="138" spans="1:2" x14ac:dyDescent="0.3">
      <c r="A138" s="15" t="s">
        <v>179</v>
      </c>
      <c r="B138" s="15">
        <v>0.35199999999999998</v>
      </c>
    </row>
    <row r="139" spans="1:2" x14ac:dyDescent="0.3">
      <c r="A139" s="15" t="s">
        <v>180</v>
      </c>
      <c r="B139" s="15">
        <v>0.68</v>
      </c>
    </row>
    <row r="140" spans="1:2" x14ac:dyDescent="0.3">
      <c r="A140" s="15" t="s">
        <v>181</v>
      </c>
      <c r="B140" s="15">
        <v>0.44</v>
      </c>
    </row>
    <row r="141" spans="1:2" x14ac:dyDescent="0.3">
      <c r="A141" s="15" t="s">
        <v>182</v>
      </c>
      <c r="B141" s="15">
        <v>0.68</v>
      </c>
    </row>
    <row r="142" spans="1:2" x14ac:dyDescent="0.3">
      <c r="A142" s="15" t="s">
        <v>183</v>
      </c>
      <c r="B142" s="15">
        <v>0.215</v>
      </c>
    </row>
    <row r="143" spans="1:2" x14ac:dyDescent="0.3">
      <c r="A143" s="15" t="s">
        <v>184</v>
      </c>
      <c r="B143" s="15">
        <v>0.216</v>
      </c>
    </row>
    <row r="144" spans="1:2" x14ac:dyDescent="0.3">
      <c r="A144" s="15" t="s">
        <v>185</v>
      </c>
      <c r="B144" s="15">
        <v>0.7</v>
      </c>
    </row>
    <row r="145" spans="1:2" x14ac:dyDescent="0.3">
      <c r="A145" s="15" t="s">
        <v>186</v>
      </c>
      <c r="B145" s="15">
        <v>0.72</v>
      </c>
    </row>
    <row r="146" spans="1:2" x14ac:dyDescent="0.3">
      <c r="A146" s="15" t="s">
        <v>187</v>
      </c>
      <c r="B146" s="15">
        <v>0.89600000000000002</v>
      </c>
    </row>
    <row r="147" spans="1:2" x14ac:dyDescent="0.3">
      <c r="A147" s="15" t="s">
        <v>188</v>
      </c>
      <c r="B147" s="15">
        <v>0.72</v>
      </c>
    </row>
    <row r="148" spans="1:2" x14ac:dyDescent="0.3">
      <c r="A148" s="15" t="s">
        <v>189</v>
      </c>
      <c r="B148" s="15">
        <v>0.5</v>
      </c>
    </row>
    <row r="149" spans="1:2" x14ac:dyDescent="0.3">
      <c r="A149" s="15" t="s">
        <v>190</v>
      </c>
      <c r="B149" s="15">
        <v>0.33600000000000002</v>
      </c>
    </row>
    <row r="150" spans="1:2" x14ac:dyDescent="0.3">
      <c r="A150" s="15" t="s">
        <v>191</v>
      </c>
      <c r="B150" s="15">
        <v>0.68</v>
      </c>
    </row>
    <row r="151" spans="1:2" x14ac:dyDescent="0.3">
      <c r="A151" s="15" t="s">
        <v>192</v>
      </c>
      <c r="B151" s="15">
        <v>0.62</v>
      </c>
    </row>
    <row r="152" spans="1:2" x14ac:dyDescent="0.3">
      <c r="A152" s="15" t="s">
        <v>193</v>
      </c>
      <c r="B152" s="15">
        <v>0.4</v>
      </c>
    </row>
    <row r="153" spans="1:2" x14ac:dyDescent="0.3">
      <c r="A153" s="15" t="s">
        <v>194</v>
      </c>
      <c r="B153" s="15">
        <v>0.34499999999999997</v>
      </c>
    </row>
    <row r="154" spans="1:2" x14ac:dyDescent="0.3">
      <c r="A154" s="15" t="s">
        <v>195</v>
      </c>
      <c r="B154" s="15">
        <v>0.68</v>
      </c>
    </row>
    <row r="155" spans="1:2" x14ac:dyDescent="0.3">
      <c r="A155" s="15" t="s">
        <v>196</v>
      </c>
      <c r="B155" s="15">
        <v>0.36</v>
      </c>
    </row>
    <row r="156" spans="1:2" x14ac:dyDescent="0.3">
      <c r="A156" s="15" t="s">
        <v>197</v>
      </c>
      <c r="B156" s="15">
        <v>0.68</v>
      </c>
    </row>
    <row r="157" spans="1:2" x14ac:dyDescent="0.3">
      <c r="A157" s="15" t="s">
        <v>198</v>
      </c>
      <c r="B157" s="15">
        <v>0.19</v>
      </c>
    </row>
    <row r="158" spans="1:2" x14ac:dyDescent="0.3">
      <c r="A158" s="15" t="s">
        <v>199</v>
      </c>
      <c r="B158" s="15">
        <v>0.6</v>
      </c>
    </row>
    <row r="159" spans="1:2" x14ac:dyDescent="0.3">
      <c r="A159" s="15" t="s">
        <v>200</v>
      </c>
      <c r="B159" s="15">
        <v>0.64</v>
      </c>
    </row>
    <row r="160" spans="1:2" x14ac:dyDescent="0.3">
      <c r="A160" s="15" t="s">
        <v>201</v>
      </c>
      <c r="B160" s="15">
        <v>0.72</v>
      </c>
    </row>
    <row r="161" spans="1:2" x14ac:dyDescent="0.3">
      <c r="A161" s="15" t="s">
        <v>202</v>
      </c>
      <c r="B161" s="15">
        <v>1.3</v>
      </c>
    </row>
    <row r="162" spans="1:2" x14ac:dyDescent="0.3">
      <c r="A162" s="15" t="s">
        <v>203</v>
      </c>
      <c r="B162" s="15">
        <v>1.52</v>
      </c>
    </row>
    <row r="163" spans="1:2" x14ac:dyDescent="0.3">
      <c r="A163" s="15" t="s">
        <v>204</v>
      </c>
      <c r="B163" s="15">
        <v>1.44</v>
      </c>
    </row>
    <row r="164" spans="1:2" x14ac:dyDescent="0.3">
      <c r="A164" s="15" t="s">
        <v>205</v>
      </c>
      <c r="B164" s="15">
        <v>0.84</v>
      </c>
    </row>
    <row r="165" spans="1:2" x14ac:dyDescent="0.3">
      <c r="A165" s="15" t="s">
        <v>206</v>
      </c>
      <c r="B165" s="15">
        <v>0.2</v>
      </c>
    </row>
    <row r="166" spans="1:2" x14ac:dyDescent="0.3">
      <c r="A166" s="15" t="s">
        <v>207</v>
      </c>
      <c r="B166" s="15">
        <v>0.68799999999999994</v>
      </c>
    </row>
    <row r="167" spans="1:2" x14ac:dyDescent="0.3">
      <c r="A167" s="15" t="s">
        <v>208</v>
      </c>
      <c r="B167" s="15">
        <v>0.44800000000000001</v>
      </c>
    </row>
    <row r="168" spans="1:2" x14ac:dyDescent="0.3">
      <c r="A168" s="15" t="s">
        <v>209</v>
      </c>
      <c r="B168" s="15">
        <v>1.52</v>
      </c>
    </row>
    <row r="169" spans="1:2" x14ac:dyDescent="0.3">
      <c r="A169" s="15" t="s">
        <v>210</v>
      </c>
      <c r="B169" s="15">
        <v>1.2</v>
      </c>
    </row>
    <row r="170" spans="1:2" x14ac:dyDescent="0.3">
      <c r="A170" s="15" t="s">
        <v>211</v>
      </c>
      <c r="B170" s="15">
        <v>1.68</v>
      </c>
    </row>
    <row r="171" spans="1:2" x14ac:dyDescent="0.3">
      <c r="A171" s="15" t="s">
        <v>212</v>
      </c>
      <c r="B171" s="15">
        <v>1.08</v>
      </c>
    </row>
    <row r="172" spans="1:2" x14ac:dyDescent="0.3">
      <c r="A172" s="15" t="s">
        <v>213</v>
      </c>
      <c r="B172" s="15">
        <v>0.25600000000000001</v>
      </c>
    </row>
    <row r="173" spans="1:2" x14ac:dyDescent="0.3">
      <c r="A173" s="15" t="s">
        <v>214</v>
      </c>
      <c r="B173" s="15">
        <v>3.68</v>
      </c>
    </row>
    <row r="174" spans="1:2" x14ac:dyDescent="0.3">
      <c r="A174" s="15" t="s">
        <v>215</v>
      </c>
      <c r="B174" s="15">
        <v>0.72</v>
      </c>
    </row>
    <row r="175" spans="1:2" x14ac:dyDescent="0.3">
      <c r="A175" s="15" t="s">
        <v>216</v>
      </c>
      <c r="B175" s="15">
        <v>0.8</v>
      </c>
    </row>
    <row r="176" spans="1:2" x14ac:dyDescent="0.3">
      <c r="A176" s="15" t="s">
        <v>217</v>
      </c>
      <c r="B176" s="15">
        <v>1.08</v>
      </c>
    </row>
    <row r="177" spans="1:2" x14ac:dyDescent="0.3">
      <c r="A177" s="15" t="s">
        <v>218</v>
      </c>
      <c r="B177" s="15">
        <v>1.2</v>
      </c>
    </row>
    <row r="178" spans="1:2" x14ac:dyDescent="0.3">
      <c r="A178" s="15" t="s">
        <v>219</v>
      </c>
      <c r="B178" s="15">
        <v>1.24</v>
      </c>
    </row>
    <row r="179" spans="1:2" x14ac:dyDescent="0.3">
      <c r="A179" s="15" t="s">
        <v>220</v>
      </c>
      <c r="B179" s="15">
        <v>1.6</v>
      </c>
    </row>
    <row r="180" spans="1:2" x14ac:dyDescent="0.3">
      <c r="A180" s="15" t="s">
        <v>221</v>
      </c>
      <c r="B180" s="15">
        <v>1.6</v>
      </c>
    </row>
    <row r="181" spans="1:2" x14ac:dyDescent="0.3">
      <c r="A181" s="15" t="s">
        <v>222</v>
      </c>
      <c r="B181" s="15">
        <v>1</v>
      </c>
    </row>
    <row r="182" spans="1:2" x14ac:dyDescent="0.3">
      <c r="A182" s="15" t="s">
        <v>223</v>
      </c>
      <c r="B182" s="15">
        <v>1.1200000000000001</v>
      </c>
    </row>
    <row r="183" spans="1:2" x14ac:dyDescent="0.3">
      <c r="A183" s="15" t="s">
        <v>224</v>
      </c>
      <c r="B183" s="15">
        <v>0.6</v>
      </c>
    </row>
    <row r="184" spans="1:2" x14ac:dyDescent="0.3">
      <c r="A184" s="15" t="s">
        <v>225</v>
      </c>
      <c r="B184" s="15">
        <v>0.72</v>
      </c>
    </row>
    <row r="185" spans="1:2" x14ac:dyDescent="0.3">
      <c r="A185" s="15" t="s">
        <v>226</v>
      </c>
      <c r="B185" s="15">
        <v>0.72</v>
      </c>
    </row>
    <row r="186" spans="1:2" x14ac:dyDescent="0.3">
      <c r="A186" s="15" t="s">
        <v>227</v>
      </c>
      <c r="B186" s="15">
        <v>0.79</v>
      </c>
    </row>
    <row r="187" spans="1:2" x14ac:dyDescent="0.3">
      <c r="A187" s="15" t="s">
        <v>228</v>
      </c>
      <c r="B187" s="15">
        <v>0.4</v>
      </c>
    </row>
    <row r="188" spans="1:2" x14ac:dyDescent="0.3">
      <c r="A188" s="15" t="s">
        <v>229</v>
      </c>
      <c r="B188" s="15">
        <v>0.6</v>
      </c>
    </row>
    <row r="189" spans="1:2" x14ac:dyDescent="0.3">
      <c r="A189" s="15" t="s">
        <v>230</v>
      </c>
      <c r="B189" s="15">
        <v>0.64</v>
      </c>
    </row>
    <row r="190" spans="1:2" x14ac:dyDescent="0.3">
      <c r="A190" s="15" t="s">
        <v>231</v>
      </c>
      <c r="B190" s="15">
        <v>1.88</v>
      </c>
    </row>
    <row r="191" spans="1:2" x14ac:dyDescent="0.3">
      <c r="A191" s="15" t="s">
        <v>232</v>
      </c>
      <c r="B191" s="15">
        <v>1.3</v>
      </c>
    </row>
    <row r="192" spans="1:2" x14ac:dyDescent="0.3">
      <c r="A192" s="15" t="s">
        <v>233</v>
      </c>
      <c r="B192" s="15">
        <v>1.52</v>
      </c>
    </row>
    <row r="193" spans="1:2" x14ac:dyDescent="0.3">
      <c r="A193" s="15" t="s">
        <v>234</v>
      </c>
      <c r="B193" s="15">
        <v>1.84</v>
      </c>
    </row>
    <row r="194" spans="1:2" x14ac:dyDescent="0.3">
      <c r="A194" s="15" t="s">
        <v>235</v>
      </c>
      <c r="B194" s="15">
        <v>1.36</v>
      </c>
    </row>
    <row r="195" spans="1:2" x14ac:dyDescent="0.3">
      <c r="A195" s="15" t="s">
        <v>236</v>
      </c>
      <c r="B195" s="15">
        <v>1.36</v>
      </c>
    </row>
    <row r="196" spans="1:2" x14ac:dyDescent="0.3">
      <c r="A196" s="15" t="s">
        <v>237</v>
      </c>
      <c r="B196" s="15">
        <v>0.52</v>
      </c>
    </row>
    <row r="197" spans="1:2" x14ac:dyDescent="0.3">
      <c r="A197" s="15" t="s">
        <v>238</v>
      </c>
      <c r="B197" s="15">
        <v>1</v>
      </c>
    </row>
    <row r="198" spans="1:2" x14ac:dyDescent="0.3">
      <c r="A198" s="15" t="s">
        <v>239</v>
      </c>
      <c r="B198" s="15">
        <v>0.64</v>
      </c>
    </row>
    <row r="199" spans="1:2" x14ac:dyDescent="0.3">
      <c r="A199" s="15" t="s">
        <v>240</v>
      </c>
      <c r="B199" s="15">
        <v>0.6</v>
      </c>
    </row>
    <row r="200" spans="1:2" x14ac:dyDescent="0.3">
      <c r="A200" s="15" t="s">
        <v>241</v>
      </c>
      <c r="B200" s="15">
        <v>1</v>
      </c>
    </row>
    <row r="201" spans="1:2" x14ac:dyDescent="0.3">
      <c r="A201" s="15" t="s">
        <v>242</v>
      </c>
      <c r="B201" s="15">
        <v>0.48</v>
      </c>
    </row>
    <row r="202" spans="1:2" x14ac:dyDescent="0.3">
      <c r="A202" s="15" t="s">
        <v>243</v>
      </c>
      <c r="B202" s="15">
        <v>0.8</v>
      </c>
    </row>
    <row r="203" spans="1:2" x14ac:dyDescent="0.3">
      <c r="A203" s="15" t="s">
        <v>244</v>
      </c>
      <c r="B203" s="15">
        <v>0.51200000000000001</v>
      </c>
    </row>
    <row r="204" spans="1:2" x14ac:dyDescent="0.3">
      <c r="A204" s="15" t="s">
        <v>245</v>
      </c>
      <c r="B204" s="15">
        <v>0.59199999999999997</v>
      </c>
    </row>
    <row r="205" spans="1:2" x14ac:dyDescent="0.3">
      <c r="A205" s="15" t="s">
        <v>246</v>
      </c>
      <c r="B205" s="15">
        <v>0.64</v>
      </c>
    </row>
    <row r="206" spans="1:2" x14ac:dyDescent="0.3">
      <c r="A206" s="15" t="s">
        <v>247</v>
      </c>
      <c r="B206" s="15">
        <v>0.64</v>
      </c>
    </row>
    <row r="207" spans="1:2" x14ac:dyDescent="0.3">
      <c r="A207" s="15" t="s">
        <v>248</v>
      </c>
      <c r="B207" s="15">
        <v>0.64</v>
      </c>
    </row>
    <row r="208" spans="1:2" x14ac:dyDescent="0.3">
      <c r="A208" s="15" t="s">
        <v>249</v>
      </c>
      <c r="B208" s="15">
        <v>0.94</v>
      </c>
    </row>
    <row r="209" spans="1:2" x14ac:dyDescent="0.3">
      <c r="A209" s="15" t="s">
        <v>250</v>
      </c>
      <c r="B209" s="15">
        <v>0.64</v>
      </c>
    </row>
    <row r="210" spans="1:2" x14ac:dyDescent="0.3">
      <c r="A210" s="15" t="s">
        <v>251</v>
      </c>
      <c r="B210" s="15">
        <v>0.48</v>
      </c>
    </row>
    <row r="211" spans="1:2" x14ac:dyDescent="0.3">
      <c r="A211" s="15" t="s">
        <v>252</v>
      </c>
      <c r="B211" s="15">
        <v>1.36</v>
      </c>
    </row>
    <row r="212" spans="1:2" x14ac:dyDescent="0.3">
      <c r="A212" s="15" t="s">
        <v>253</v>
      </c>
      <c r="B212" s="15">
        <v>1.4</v>
      </c>
    </row>
    <row r="213" spans="1:2" x14ac:dyDescent="0.3">
      <c r="A213" s="15" t="s">
        <v>254</v>
      </c>
      <c r="B213" s="15">
        <v>1.55</v>
      </c>
    </row>
    <row r="214" spans="1:2" x14ac:dyDescent="0.3">
      <c r="A214" s="15" t="s">
        <v>255</v>
      </c>
      <c r="B214" s="15">
        <v>0.64</v>
      </c>
    </row>
    <row r="215" spans="1:2" x14ac:dyDescent="0.3">
      <c r="A215" s="15" t="s">
        <v>256</v>
      </c>
      <c r="B215" s="15">
        <v>0.64</v>
      </c>
    </row>
    <row r="216" spans="1:2" x14ac:dyDescent="0.3">
      <c r="A216" s="15" t="s">
        <v>257</v>
      </c>
      <c r="B216" s="15">
        <v>0.28000000000000003</v>
      </c>
    </row>
    <row r="217" spans="1:2" x14ac:dyDescent="0.3">
      <c r="A217" s="15" t="s">
        <v>258</v>
      </c>
      <c r="B217" s="15">
        <v>0.17749999999999999</v>
      </c>
    </row>
    <row r="218" spans="1:2" x14ac:dyDescent="0.3">
      <c r="A218" s="15" t="s">
        <v>259</v>
      </c>
      <c r="B218" s="15">
        <v>1.52</v>
      </c>
    </row>
    <row r="219" spans="1:2" x14ac:dyDescent="0.3">
      <c r="A219" s="15" t="s">
        <v>260</v>
      </c>
      <c r="B219" s="15">
        <v>1.52</v>
      </c>
    </row>
    <row r="220" spans="1:2" x14ac:dyDescent="0.3">
      <c r="A220" s="15" t="s">
        <v>261</v>
      </c>
      <c r="B220" s="15">
        <v>1.84</v>
      </c>
    </row>
    <row r="221" spans="1:2" x14ac:dyDescent="0.3">
      <c r="A221" s="15" t="s">
        <v>262</v>
      </c>
      <c r="B221" s="15">
        <v>0.92</v>
      </c>
    </row>
    <row r="222" spans="1:2" x14ac:dyDescent="0.3">
      <c r="A222" s="15" t="s">
        <v>263</v>
      </c>
      <c r="B222" s="15">
        <v>1.1200000000000001</v>
      </c>
    </row>
    <row r="223" spans="1:2" x14ac:dyDescent="0.3">
      <c r="A223" s="15" t="s">
        <v>264</v>
      </c>
      <c r="B223" s="15">
        <v>1.488</v>
      </c>
    </row>
    <row r="224" spans="1:2" x14ac:dyDescent="0.3">
      <c r="A224" s="15" t="s">
        <v>265</v>
      </c>
      <c r="B224" s="15">
        <v>1.04</v>
      </c>
    </row>
    <row r="225" spans="1:2" x14ac:dyDescent="0.3">
      <c r="A225" s="15" t="s">
        <v>266</v>
      </c>
      <c r="B225" s="15">
        <v>1.2</v>
      </c>
    </row>
    <row r="226" spans="1:2" x14ac:dyDescent="0.3">
      <c r="A226" s="15" t="s">
        <v>267</v>
      </c>
      <c r="B226" s="15">
        <v>1.2</v>
      </c>
    </row>
    <row r="227" spans="1:2" x14ac:dyDescent="0.3">
      <c r="A227" s="15" t="s">
        <v>268</v>
      </c>
      <c r="B227" s="15">
        <v>1.52</v>
      </c>
    </row>
    <row r="228" spans="1:2" x14ac:dyDescent="0.3">
      <c r="A228" s="15" t="s">
        <v>269</v>
      </c>
      <c r="B228" s="15">
        <v>1.1200000000000001</v>
      </c>
    </row>
    <row r="229" spans="1:2" x14ac:dyDescent="0.3">
      <c r="A229" s="15" t="s">
        <v>270</v>
      </c>
      <c r="B229" s="15">
        <v>1.008</v>
      </c>
    </row>
    <row r="230" spans="1:2" x14ac:dyDescent="0.3">
      <c r="A230" s="15" t="s">
        <v>271</v>
      </c>
      <c r="B230" s="15">
        <v>0.08</v>
      </c>
    </row>
    <row r="231" spans="1:2" x14ac:dyDescent="0.3">
      <c r="A231" s="15" t="s">
        <v>272</v>
      </c>
      <c r="B231" s="15">
        <v>0.59199999999999997</v>
      </c>
    </row>
    <row r="232" spans="1:2" x14ac:dyDescent="0.3">
      <c r="A232" s="15" t="s">
        <v>273</v>
      </c>
      <c r="B232" s="15">
        <v>0.56000000000000005</v>
      </c>
    </row>
    <row r="233" spans="1:2" x14ac:dyDescent="0.3">
      <c r="A233" s="15" t="s">
        <v>274</v>
      </c>
      <c r="B233" s="15">
        <v>0.84</v>
      </c>
    </row>
    <row r="234" spans="1:2" x14ac:dyDescent="0.3">
      <c r="A234" s="15" t="s">
        <v>275</v>
      </c>
      <c r="B234" s="15">
        <v>0.64</v>
      </c>
    </row>
    <row r="235" spans="1:2" x14ac:dyDescent="0.3">
      <c r="A235" s="15" t="s">
        <v>276</v>
      </c>
      <c r="B235" s="15">
        <v>2.2400000000000002</v>
      </c>
    </row>
    <row r="236" spans="1:2" x14ac:dyDescent="0.3">
      <c r="A236" s="15" t="s">
        <v>277</v>
      </c>
      <c r="B236" s="15">
        <v>2</v>
      </c>
    </row>
    <row r="237" spans="1:2" x14ac:dyDescent="0.3">
      <c r="A237" s="15" t="s">
        <v>278</v>
      </c>
      <c r="B237" s="15">
        <v>2.4</v>
      </c>
    </row>
    <row r="238" spans="1:2" x14ac:dyDescent="0.3">
      <c r="A238" s="15" t="s">
        <v>279</v>
      </c>
      <c r="B238" s="15">
        <v>2.2799999999999998</v>
      </c>
    </row>
    <row r="239" spans="1:2" x14ac:dyDescent="0.3">
      <c r="A239" s="15" t="s">
        <v>280</v>
      </c>
      <c r="B239" s="15">
        <v>2.69</v>
      </c>
    </row>
    <row r="240" spans="1:2" x14ac:dyDescent="0.3">
      <c r="A240" s="15" t="s">
        <v>281</v>
      </c>
      <c r="B240" s="15">
        <v>0.4</v>
      </c>
    </row>
    <row r="241" spans="1:2" x14ac:dyDescent="0.3">
      <c r="A241" s="15" t="s">
        <v>282</v>
      </c>
      <c r="B241" s="15">
        <v>1.01</v>
      </c>
    </row>
    <row r="242" spans="1:2" x14ac:dyDescent="0.3">
      <c r="A242" s="15" t="s">
        <v>283</v>
      </c>
      <c r="B242" s="15">
        <v>0.78400000000000003</v>
      </c>
    </row>
    <row r="243" spans="1:2" x14ac:dyDescent="0.3">
      <c r="A243" s="15" t="s">
        <v>284</v>
      </c>
      <c r="B243" s="15">
        <v>0.51200000000000001</v>
      </c>
    </row>
    <row r="244" spans="1:2" x14ac:dyDescent="0.3">
      <c r="A244" s="15" t="s">
        <v>285</v>
      </c>
      <c r="B244" s="15">
        <v>1.1519999999999999</v>
      </c>
    </row>
    <row r="245" spans="1:2" x14ac:dyDescent="0.3">
      <c r="A245" s="15" t="s">
        <v>286</v>
      </c>
      <c r="B245" s="15">
        <v>3.76</v>
      </c>
    </row>
    <row r="246" spans="1:2" x14ac:dyDescent="0.3">
      <c r="A246" s="15" t="s">
        <v>287</v>
      </c>
      <c r="B246" s="15">
        <v>1.44</v>
      </c>
    </row>
    <row r="247" spans="1:2" x14ac:dyDescent="0.3">
      <c r="A247" s="15" t="s">
        <v>288</v>
      </c>
      <c r="B247" s="15">
        <v>0.8</v>
      </c>
    </row>
    <row r="248" spans="1:2" x14ac:dyDescent="0.3">
      <c r="A248" s="15" t="s">
        <v>289</v>
      </c>
      <c r="B248" s="15">
        <v>0.93</v>
      </c>
    </row>
    <row r="249" spans="1:2" x14ac:dyDescent="0.3">
      <c r="A249" s="15" t="s">
        <v>290</v>
      </c>
      <c r="B249" s="15">
        <v>0.96</v>
      </c>
    </row>
    <row r="250" spans="1:2" x14ac:dyDescent="0.3">
      <c r="A250" s="15" t="s">
        <v>291</v>
      </c>
      <c r="B250" s="15">
        <v>0.64</v>
      </c>
    </row>
    <row r="251" spans="1:2" x14ac:dyDescent="0.3">
      <c r="A251" s="15" t="s">
        <v>292</v>
      </c>
      <c r="B251" s="15">
        <v>0.64</v>
      </c>
    </row>
    <row r="252" spans="1:2" x14ac:dyDescent="0.3">
      <c r="A252" s="15" t="s">
        <v>293</v>
      </c>
      <c r="B252" s="15">
        <v>0.57599999999999996</v>
      </c>
    </row>
    <row r="253" spans="1:2" x14ac:dyDescent="0.3">
      <c r="A253" s="15" t="s">
        <v>294</v>
      </c>
      <c r="B253" s="15">
        <v>0.85</v>
      </c>
    </row>
    <row r="254" spans="1:2" x14ac:dyDescent="0.3">
      <c r="A254" s="15" t="s">
        <v>295</v>
      </c>
      <c r="B254" s="15">
        <v>1.28</v>
      </c>
    </row>
    <row r="255" spans="1:2" x14ac:dyDescent="0.3">
      <c r="A255" s="15" t="s">
        <v>296</v>
      </c>
      <c r="B255" s="15">
        <v>1.4</v>
      </c>
    </row>
    <row r="256" spans="1:2" x14ac:dyDescent="0.3">
      <c r="A256" s="15" t="s">
        <v>297</v>
      </c>
      <c r="B256" s="15">
        <v>1.0880000000000001</v>
      </c>
    </row>
    <row r="257" spans="1:2" x14ac:dyDescent="0.3">
      <c r="A257" s="15" t="s">
        <v>298</v>
      </c>
      <c r="B257" s="15">
        <v>1.4</v>
      </c>
    </row>
    <row r="258" spans="1:2" x14ac:dyDescent="0.3">
      <c r="A258" s="15" t="s">
        <v>299</v>
      </c>
      <c r="B258" s="15">
        <v>1.44</v>
      </c>
    </row>
    <row r="259" spans="1:2" x14ac:dyDescent="0.3">
      <c r="A259" s="15" t="s">
        <v>300</v>
      </c>
      <c r="B259" s="15">
        <v>0.8</v>
      </c>
    </row>
    <row r="260" spans="1:2" x14ac:dyDescent="0.3">
      <c r="A260" s="15" t="s">
        <v>301</v>
      </c>
      <c r="B260" s="15">
        <v>0.68</v>
      </c>
    </row>
    <row r="261" spans="1:2" x14ac:dyDescent="0.3">
      <c r="A261" s="15" t="s">
        <v>302</v>
      </c>
      <c r="B261" s="15">
        <v>3.6</v>
      </c>
    </row>
    <row r="262" spans="1:2" x14ac:dyDescent="0.3">
      <c r="A262" s="15" t="s">
        <v>303</v>
      </c>
      <c r="B262" s="15">
        <v>0.76</v>
      </c>
    </row>
    <row r="263" spans="1:2" x14ac:dyDescent="0.3">
      <c r="A263" s="15" t="s">
        <v>304</v>
      </c>
      <c r="B263" s="15">
        <v>1.1200000000000001</v>
      </c>
    </row>
    <row r="264" spans="1:2" x14ac:dyDescent="0.3">
      <c r="A264" s="15" t="s">
        <v>305</v>
      </c>
      <c r="B264" s="15">
        <v>0.52800000000000002</v>
      </c>
    </row>
    <row r="265" spans="1:2" x14ac:dyDescent="0.3">
      <c r="A265" s="15" t="s">
        <v>306</v>
      </c>
      <c r="B265" s="15">
        <v>1.1200000000000001</v>
      </c>
    </row>
    <row r="266" spans="1:2" x14ac:dyDescent="0.3">
      <c r="A266" s="15" t="s">
        <v>307</v>
      </c>
      <c r="B266" s="15">
        <v>0.33750000000000002</v>
      </c>
    </row>
    <row r="267" spans="1:2" x14ac:dyDescent="0.3">
      <c r="A267" s="15" t="s">
        <v>308</v>
      </c>
      <c r="B267" s="15">
        <v>0.45500000000000002</v>
      </c>
    </row>
    <row r="268" spans="1:2" x14ac:dyDescent="0.3">
      <c r="A268" s="15" t="s">
        <v>309</v>
      </c>
      <c r="B268" s="15">
        <v>1</v>
      </c>
    </row>
    <row r="269" spans="1:2" x14ac:dyDescent="0.3">
      <c r="A269" s="15" t="s">
        <v>310</v>
      </c>
      <c r="B269" s="15">
        <v>0.60499999999999998</v>
      </c>
    </row>
    <row r="270" spans="1:2" x14ac:dyDescent="0.3">
      <c r="A270" s="15" t="s">
        <v>311</v>
      </c>
      <c r="B270" s="15">
        <v>0.24</v>
      </c>
    </row>
    <row r="271" spans="1:2" x14ac:dyDescent="0.3">
      <c r="A271" s="15" t="s">
        <v>312</v>
      </c>
      <c r="B271" s="15">
        <v>1.28</v>
      </c>
    </row>
    <row r="272" spans="1:2" x14ac:dyDescent="0.3">
      <c r="A272" s="15" t="s">
        <v>313</v>
      </c>
      <c r="B272" s="15">
        <v>2.12</v>
      </c>
    </row>
    <row r="273" spans="1:2" x14ac:dyDescent="0.3">
      <c r="A273" s="15" t="s">
        <v>314</v>
      </c>
      <c r="B273" s="15">
        <v>1.1200000000000001</v>
      </c>
    </row>
    <row r="274" spans="1:2" x14ac:dyDescent="0.3">
      <c r="A274" s="15" t="s">
        <v>315</v>
      </c>
      <c r="B274" s="15">
        <v>1.48</v>
      </c>
    </row>
    <row r="275" spans="1:2" x14ac:dyDescent="0.3">
      <c r="A275" s="15" t="s">
        <v>316</v>
      </c>
      <c r="B275" s="15">
        <v>1.28</v>
      </c>
    </row>
    <row r="276" spans="1:2" x14ac:dyDescent="0.3">
      <c r="A276" s="15" t="s">
        <v>317</v>
      </c>
      <c r="B276" s="15">
        <v>0.64</v>
      </c>
    </row>
    <row r="277" spans="1:2" x14ac:dyDescent="0.3">
      <c r="A277" s="15" t="s">
        <v>318</v>
      </c>
      <c r="B277" s="15">
        <v>0.84</v>
      </c>
    </row>
    <row r="278" spans="1:2" x14ac:dyDescent="0.3">
      <c r="A278" s="15" t="s">
        <v>319</v>
      </c>
      <c r="B278" s="15">
        <v>0.224</v>
      </c>
    </row>
    <row r="279" spans="1:2" x14ac:dyDescent="0.3">
      <c r="A279" s="15" t="s">
        <v>320</v>
      </c>
      <c r="B279" s="15">
        <v>0.4</v>
      </c>
    </row>
    <row r="280" spans="1:2" x14ac:dyDescent="0.3">
      <c r="A280" s="15" t="s">
        <v>321</v>
      </c>
      <c r="B280" s="15">
        <v>0.312</v>
      </c>
    </row>
    <row r="281" spans="1:2" x14ac:dyDescent="0.3">
      <c r="A281" s="15" t="s">
        <v>322</v>
      </c>
      <c r="B281" s="15">
        <v>0.57499999999999996</v>
      </c>
    </row>
    <row r="282" spans="1:2" x14ac:dyDescent="0.3">
      <c r="A282" s="15" t="s">
        <v>323</v>
      </c>
      <c r="B282" s="15">
        <v>0.57599999999999996</v>
      </c>
    </row>
    <row r="283" spans="1:2" x14ac:dyDescent="0.3">
      <c r="A283" s="15" t="s">
        <v>324</v>
      </c>
      <c r="B283" s="15">
        <v>0.43</v>
      </c>
    </row>
    <row r="284" spans="1:2" x14ac:dyDescent="0.3">
      <c r="A284" s="15" t="s">
        <v>325</v>
      </c>
      <c r="B284" s="15">
        <v>0.32</v>
      </c>
    </row>
    <row r="285" spans="1:2" x14ac:dyDescent="0.3">
      <c r="A285" s="15" t="s">
        <v>326</v>
      </c>
      <c r="B285" s="15">
        <v>0.89600000000000002</v>
      </c>
    </row>
    <row r="286" spans="1:2" x14ac:dyDescent="0.3">
      <c r="A286" s="15" t="s">
        <v>327</v>
      </c>
      <c r="B286" s="15">
        <v>1.712</v>
      </c>
    </row>
    <row r="287" spans="1:2" x14ac:dyDescent="0.3">
      <c r="A287" s="15" t="s">
        <v>328</v>
      </c>
      <c r="B287" s="15">
        <v>2.4</v>
      </c>
    </row>
    <row r="288" spans="1:2" x14ac:dyDescent="0.3">
      <c r="A288" s="15" t="s">
        <v>329</v>
      </c>
      <c r="B288" s="15">
        <v>1.232</v>
      </c>
    </row>
    <row r="289" spans="1:2" x14ac:dyDescent="0.3">
      <c r="A289" s="15" t="s">
        <v>330</v>
      </c>
      <c r="B289" s="15">
        <v>0.72</v>
      </c>
    </row>
    <row r="290" spans="1:2" x14ac:dyDescent="0.3">
      <c r="A290" s="15" t="s">
        <v>331</v>
      </c>
      <c r="B290" s="15">
        <v>0.8</v>
      </c>
    </row>
    <row r="291" spans="1:2" x14ac:dyDescent="0.3">
      <c r="A291" s="15" t="s">
        <v>332</v>
      </c>
      <c r="B291" s="15">
        <v>0.38400000000000001</v>
      </c>
    </row>
    <row r="292" spans="1:2" x14ac:dyDescent="0.3">
      <c r="A292" s="15" t="s">
        <v>333</v>
      </c>
      <c r="B292" s="15">
        <v>0.95</v>
      </c>
    </row>
    <row r="293" spans="1:2" x14ac:dyDescent="0.3">
      <c r="A293" s="15" t="s">
        <v>334</v>
      </c>
      <c r="B293" s="15">
        <v>0.72</v>
      </c>
    </row>
    <row r="294" spans="1:2" x14ac:dyDescent="0.3">
      <c r="A294" s="15" t="s">
        <v>335</v>
      </c>
      <c r="B294" s="15">
        <v>0.56000000000000005</v>
      </c>
    </row>
    <row r="295" spans="1:2" x14ac:dyDescent="0.3">
      <c r="A295" s="15" t="s">
        <v>336</v>
      </c>
      <c r="B295" s="15">
        <v>2.4</v>
      </c>
    </row>
    <row r="296" spans="1:2" x14ac:dyDescent="0.3">
      <c r="A296" s="15" t="s">
        <v>337</v>
      </c>
      <c r="B296" s="15">
        <v>1.2</v>
      </c>
    </row>
    <row r="297" spans="1:2" x14ac:dyDescent="0.3">
      <c r="A297" s="15" t="s">
        <v>338</v>
      </c>
      <c r="B297" s="15">
        <v>0.9</v>
      </c>
    </row>
    <row r="298" spans="1:2" x14ac:dyDescent="0.3">
      <c r="A298" s="15" t="s">
        <v>339</v>
      </c>
      <c r="B298" s="15">
        <v>0.41599999999999998</v>
      </c>
    </row>
    <row r="299" spans="1:2" x14ac:dyDescent="0.3">
      <c r="A299" s="15" t="s">
        <v>340</v>
      </c>
      <c r="B299" s="15">
        <v>0.30399999999999999</v>
      </c>
    </row>
    <row r="300" spans="1:2" x14ac:dyDescent="0.3">
      <c r="A300" s="15" t="s">
        <v>341</v>
      </c>
      <c r="B300" s="15">
        <v>0.78400000000000003</v>
      </c>
    </row>
    <row r="301" spans="1:2" x14ac:dyDescent="0.3">
      <c r="A301" s="15" t="s">
        <v>342</v>
      </c>
      <c r="B301" s="15">
        <v>2.2400000000000002</v>
      </c>
    </row>
    <row r="302" spans="1:2" x14ac:dyDescent="0.3">
      <c r="A302" s="15" t="s">
        <v>343</v>
      </c>
      <c r="B302" s="15">
        <v>0.96</v>
      </c>
    </row>
    <row r="303" spans="1:2" x14ac:dyDescent="0.3">
      <c r="A303" s="15" t="s">
        <v>344</v>
      </c>
      <c r="B303" s="15">
        <v>0.84799999999999998</v>
      </c>
    </row>
    <row r="304" spans="1:2" x14ac:dyDescent="0.3">
      <c r="A304" s="15" t="s">
        <v>345</v>
      </c>
      <c r="B304" s="15">
        <v>1.28</v>
      </c>
    </row>
    <row r="305" spans="1:2" x14ac:dyDescent="0.3">
      <c r="A305" s="15" t="s">
        <v>346</v>
      </c>
      <c r="B305" s="15">
        <v>0.8</v>
      </c>
    </row>
    <row r="306" spans="1:2" x14ac:dyDescent="0.3">
      <c r="A306" s="15" t="s">
        <v>347</v>
      </c>
      <c r="B306" s="15">
        <v>0.76</v>
      </c>
    </row>
    <row r="307" spans="1:2" x14ac:dyDescent="0.3">
      <c r="A307" s="15" t="s">
        <v>348</v>
      </c>
      <c r="B307" s="15">
        <v>0.98</v>
      </c>
    </row>
    <row r="308" spans="1:2" x14ac:dyDescent="0.3">
      <c r="A308" s="15" t="s">
        <v>349</v>
      </c>
      <c r="B308" s="15">
        <v>0.44</v>
      </c>
    </row>
    <row r="309" spans="1:2" x14ac:dyDescent="0.3">
      <c r="A309" s="15" t="s">
        <v>350</v>
      </c>
      <c r="B309" s="15">
        <v>0.2</v>
      </c>
    </row>
    <row r="310" spans="1:2" x14ac:dyDescent="0.3">
      <c r="A310" s="15" t="s">
        <v>351</v>
      </c>
      <c r="B310" s="15">
        <v>0.72</v>
      </c>
    </row>
    <row r="311" spans="1:2" x14ac:dyDescent="0.3">
      <c r="A311" s="15" t="s">
        <v>352</v>
      </c>
      <c r="B311" s="15">
        <v>0.28000000000000003</v>
      </c>
    </row>
    <row r="312" spans="1:2" x14ac:dyDescent="0.3">
      <c r="A312" s="15" t="s">
        <v>353</v>
      </c>
      <c r="B312" s="15">
        <v>0.64</v>
      </c>
    </row>
    <row r="313" spans="1:2" x14ac:dyDescent="0.3">
      <c r="A313" s="15" t="s">
        <v>354</v>
      </c>
      <c r="B313" s="15">
        <v>0.76</v>
      </c>
    </row>
    <row r="314" spans="1:2" x14ac:dyDescent="0.3">
      <c r="A314" s="15" t="s">
        <v>355</v>
      </c>
      <c r="B314" s="15">
        <v>1.52</v>
      </c>
    </row>
    <row r="315" spans="1:2" x14ac:dyDescent="0.3">
      <c r="A315" s="15" t="s">
        <v>356</v>
      </c>
      <c r="B315" s="15">
        <v>1.44</v>
      </c>
    </row>
    <row r="316" spans="1:2" x14ac:dyDescent="0.3">
      <c r="A316" s="15" t="s">
        <v>357</v>
      </c>
      <c r="B316" s="15">
        <v>1.08</v>
      </c>
    </row>
    <row r="317" spans="1:2" x14ac:dyDescent="0.3">
      <c r="A317" s="15" t="s">
        <v>358</v>
      </c>
      <c r="B317" s="15">
        <v>1.44</v>
      </c>
    </row>
    <row r="318" spans="1:2" x14ac:dyDescent="0.3">
      <c r="A318" s="15" t="s">
        <v>359</v>
      </c>
      <c r="B318" s="15">
        <v>0.84</v>
      </c>
    </row>
    <row r="319" spans="1:2" x14ac:dyDescent="0.3">
      <c r="A319" s="15" t="s">
        <v>360</v>
      </c>
      <c r="B319" s="15">
        <v>1.28</v>
      </c>
    </row>
    <row r="320" spans="1:2" x14ac:dyDescent="0.3">
      <c r="A320" s="15" t="s">
        <v>361</v>
      </c>
      <c r="B320" s="15">
        <v>0.96</v>
      </c>
    </row>
    <row r="321" spans="1:2" x14ac:dyDescent="0.3">
      <c r="A321" s="15" t="s">
        <v>362</v>
      </c>
      <c r="B321" s="15">
        <v>1.52</v>
      </c>
    </row>
    <row r="322" spans="1:2" x14ac:dyDescent="0.3">
      <c r="A322" s="15" t="s">
        <v>363</v>
      </c>
      <c r="B322" s="15">
        <v>0.88</v>
      </c>
    </row>
    <row r="323" spans="1:2" x14ac:dyDescent="0.3">
      <c r="A323" s="15" t="s">
        <v>364</v>
      </c>
      <c r="B323" s="15">
        <v>1.49</v>
      </c>
    </row>
    <row r="324" spans="1:2" x14ac:dyDescent="0.3">
      <c r="A324" s="15" t="s">
        <v>365</v>
      </c>
      <c r="B324" s="15">
        <v>0.97499999999999998</v>
      </c>
    </row>
    <row r="325" spans="1:2" x14ac:dyDescent="0.3">
      <c r="A325" s="15" t="s">
        <v>366</v>
      </c>
      <c r="B325" s="15">
        <v>0.64</v>
      </c>
    </row>
    <row r="326" spans="1:2" x14ac:dyDescent="0.3">
      <c r="A326" s="15" t="s">
        <v>367</v>
      </c>
      <c r="B326" s="15">
        <v>1.28</v>
      </c>
    </row>
    <row r="327" spans="1:2" x14ac:dyDescent="0.3">
      <c r="A327" s="15" t="s">
        <v>368</v>
      </c>
      <c r="B327" s="15">
        <v>0.81599999999999995</v>
      </c>
    </row>
    <row r="328" spans="1:2" x14ac:dyDescent="0.3">
      <c r="A328" s="15" t="s">
        <v>369</v>
      </c>
      <c r="B328" s="15">
        <v>2</v>
      </c>
    </row>
    <row r="329" spans="1:2" x14ac:dyDescent="0.3">
      <c r="A329" s="15" t="s">
        <v>370</v>
      </c>
      <c r="B329" s="15">
        <v>1.216</v>
      </c>
    </row>
    <row r="330" spans="1:2" x14ac:dyDescent="0.3">
      <c r="A330" s="15" t="s">
        <v>371</v>
      </c>
      <c r="B330" s="15">
        <v>0.72</v>
      </c>
    </row>
    <row r="331" spans="1:2" x14ac:dyDescent="0.3">
      <c r="A331" s="15" t="s">
        <v>372</v>
      </c>
      <c r="B331" s="15">
        <v>0.69599999999999995</v>
      </c>
    </row>
    <row r="332" spans="1:2" x14ac:dyDescent="0.3">
      <c r="A332" s="15" t="s">
        <v>373</v>
      </c>
      <c r="B332" s="15">
        <v>2.2400000000000002</v>
      </c>
    </row>
    <row r="333" spans="1:2" x14ac:dyDescent="0.3">
      <c r="A333" s="15" t="s">
        <v>374</v>
      </c>
      <c r="B333" s="15">
        <v>2</v>
      </c>
    </row>
    <row r="334" spans="1:2" x14ac:dyDescent="0.3">
      <c r="A334" s="15" t="s">
        <v>375</v>
      </c>
      <c r="B334" s="15">
        <v>1.2</v>
      </c>
    </row>
    <row r="335" spans="1:2" x14ac:dyDescent="0.3">
      <c r="A335" s="15" t="s">
        <v>376</v>
      </c>
      <c r="B335" s="15">
        <v>1.76</v>
      </c>
    </row>
    <row r="336" spans="1:2" x14ac:dyDescent="0.3">
      <c r="A336" s="15" t="s">
        <v>377</v>
      </c>
      <c r="B336" s="15">
        <v>1.36</v>
      </c>
    </row>
    <row r="337" spans="1:2" x14ac:dyDescent="0.3">
      <c r="A337" s="15" t="s">
        <v>378</v>
      </c>
      <c r="B337" s="15">
        <v>1.44</v>
      </c>
    </row>
    <row r="338" spans="1:2" x14ac:dyDescent="0.3">
      <c r="A338" s="15" t="s">
        <v>379</v>
      </c>
      <c r="B338" s="15">
        <v>0.32</v>
      </c>
    </row>
    <row r="339" spans="1:2" x14ac:dyDescent="0.3">
      <c r="A339" s="15" t="s">
        <v>380</v>
      </c>
      <c r="B339" s="15">
        <v>0.74399999999999999</v>
      </c>
    </row>
    <row r="340" spans="1:2" x14ac:dyDescent="0.3">
      <c r="A340" s="15" t="s">
        <v>381</v>
      </c>
      <c r="B340" s="15">
        <v>0.57599999999999996</v>
      </c>
    </row>
    <row r="341" spans="1:2" x14ac:dyDescent="0.3">
      <c r="A341" s="15" t="s">
        <v>382</v>
      </c>
      <c r="B341" s="15">
        <v>0.69499999999999995</v>
      </c>
    </row>
    <row r="342" spans="1:2" x14ac:dyDescent="0.3">
      <c r="A342" s="15" t="s">
        <v>383</v>
      </c>
      <c r="B342" s="15">
        <v>2.16</v>
      </c>
    </row>
    <row r="343" spans="1:2" x14ac:dyDescent="0.3">
      <c r="A343" s="15" t="s">
        <v>384</v>
      </c>
      <c r="B343" s="15">
        <v>1.68</v>
      </c>
    </row>
    <row r="344" spans="1:2" x14ac:dyDescent="0.3">
      <c r="A344" s="15" t="s">
        <v>385</v>
      </c>
      <c r="B344" s="15">
        <v>0.37</v>
      </c>
    </row>
    <row r="345" spans="1:2" x14ac:dyDescent="0.3">
      <c r="A345" s="15" t="s">
        <v>386</v>
      </c>
      <c r="B345" s="15">
        <v>0.85499999999999998</v>
      </c>
    </row>
    <row r="346" spans="1:2" x14ac:dyDescent="0.3">
      <c r="A346" s="15" t="s">
        <v>387</v>
      </c>
      <c r="B346" s="15">
        <v>0.44</v>
      </c>
    </row>
    <row r="347" spans="1:2" x14ac:dyDescent="0.3">
      <c r="A347" s="15" t="s">
        <v>388</v>
      </c>
      <c r="B347" s="15">
        <v>0.70399999999999996</v>
      </c>
    </row>
    <row r="348" spans="1:2" x14ac:dyDescent="0.3">
      <c r="A348" s="15" t="s">
        <v>389</v>
      </c>
      <c r="B348" s="15">
        <v>0.46400000000000002</v>
      </c>
    </row>
    <row r="349" spans="1:2" x14ac:dyDescent="0.3">
      <c r="A349" s="15" t="s">
        <v>390</v>
      </c>
      <c r="B349" s="15">
        <v>0.76</v>
      </c>
    </row>
    <row r="350" spans="1:2" x14ac:dyDescent="0.3">
      <c r="A350" s="15" t="s">
        <v>391</v>
      </c>
      <c r="B350" s="15">
        <v>1.2</v>
      </c>
    </row>
    <row r="351" spans="1:2" x14ac:dyDescent="0.3">
      <c r="A351" s="15" t="s">
        <v>392</v>
      </c>
      <c r="B351" s="15">
        <v>1.36</v>
      </c>
    </row>
    <row r="352" spans="1:2" x14ac:dyDescent="0.3">
      <c r="A352" s="15" t="s">
        <v>393</v>
      </c>
      <c r="B352" s="15">
        <v>1.2</v>
      </c>
    </row>
    <row r="353" spans="1:2" x14ac:dyDescent="0.3">
      <c r="A353" s="15" t="s">
        <v>394</v>
      </c>
      <c r="B353" s="15">
        <v>1.28</v>
      </c>
    </row>
    <row r="354" spans="1:2" x14ac:dyDescent="0.3">
      <c r="A354" s="15" t="s">
        <v>395</v>
      </c>
      <c r="B354" s="15">
        <v>1.92</v>
      </c>
    </row>
    <row r="355" spans="1:2" x14ac:dyDescent="0.3">
      <c r="A355" s="15" t="s">
        <v>396</v>
      </c>
      <c r="B355" s="15">
        <v>1.6</v>
      </c>
    </row>
    <row r="356" spans="1:2" x14ac:dyDescent="0.3">
      <c r="A356" s="15" t="s">
        <v>397</v>
      </c>
      <c r="B356" s="15">
        <v>1.44</v>
      </c>
    </row>
    <row r="357" spans="1:2" x14ac:dyDescent="0.3">
      <c r="A357" s="15" t="s">
        <v>398</v>
      </c>
      <c r="B357" s="15">
        <v>1.44</v>
      </c>
    </row>
    <row r="358" spans="1:2" x14ac:dyDescent="0.3">
      <c r="A358" s="15" t="s">
        <v>399</v>
      </c>
      <c r="B358" s="15">
        <v>1.52</v>
      </c>
    </row>
    <row r="359" spans="1:2" x14ac:dyDescent="0.3">
      <c r="A359" s="15" t="s">
        <v>400</v>
      </c>
      <c r="B359" s="15">
        <v>1.44</v>
      </c>
    </row>
    <row r="360" spans="1:2" x14ac:dyDescent="0.3">
      <c r="A360" s="15" t="s">
        <v>401</v>
      </c>
      <c r="B360" s="15">
        <v>1.4</v>
      </c>
    </row>
    <row r="361" spans="1:2" x14ac:dyDescent="0.3">
      <c r="A361" s="15" t="s">
        <v>402</v>
      </c>
      <c r="B361" s="15">
        <v>0.28000000000000003</v>
      </c>
    </row>
    <row r="362" spans="1:2" x14ac:dyDescent="0.3">
      <c r="A362" s="15" t="s">
        <v>403</v>
      </c>
      <c r="B362" s="15">
        <v>0.432</v>
      </c>
    </row>
    <row r="363" spans="1:2" x14ac:dyDescent="0.3">
      <c r="A363" s="15" t="s">
        <v>404</v>
      </c>
      <c r="B363" s="15">
        <v>0.96</v>
      </c>
    </row>
    <row r="364" spans="1:2" x14ac:dyDescent="0.3">
      <c r="A364" s="15" t="s">
        <v>405</v>
      </c>
      <c r="B364" s="15">
        <v>1.52</v>
      </c>
    </row>
    <row r="365" spans="1:2" x14ac:dyDescent="0.3">
      <c r="A365" s="15" t="s">
        <v>406</v>
      </c>
      <c r="B365" s="15">
        <v>1.4</v>
      </c>
    </row>
    <row r="366" spans="1:2" x14ac:dyDescent="0.3">
      <c r="A366" s="15" t="s">
        <v>407</v>
      </c>
      <c r="B366" s="15">
        <v>1.28</v>
      </c>
    </row>
    <row r="367" spans="1:2" x14ac:dyDescent="0.3">
      <c r="A367" s="15" t="s">
        <v>408</v>
      </c>
      <c r="B367" s="15">
        <v>0.496</v>
      </c>
    </row>
    <row r="368" spans="1:2" x14ac:dyDescent="0.3">
      <c r="A368" s="15" t="s">
        <v>409</v>
      </c>
      <c r="B368" s="16">
        <v>0.72</v>
      </c>
    </row>
    <row r="369" spans="1:2" x14ac:dyDescent="0.3">
      <c r="A369" s="15" t="s">
        <v>410</v>
      </c>
      <c r="B369" s="15">
        <v>0.72</v>
      </c>
    </row>
    <row r="370" spans="1:2" x14ac:dyDescent="0.3">
      <c r="A370" s="15" t="s">
        <v>411</v>
      </c>
      <c r="B370" s="15">
        <v>1.88</v>
      </c>
    </row>
    <row r="371" spans="1:2" x14ac:dyDescent="0.3">
      <c r="A371" s="15" t="s">
        <v>412</v>
      </c>
      <c r="B371" s="15">
        <v>1.36</v>
      </c>
    </row>
    <row r="372" spans="1:2" x14ac:dyDescent="0.3">
      <c r="A372" s="15" t="s">
        <v>413</v>
      </c>
      <c r="B372" s="15">
        <v>1</v>
      </c>
    </row>
    <row r="373" spans="1:2" x14ac:dyDescent="0.3">
      <c r="A373" s="15" t="s">
        <v>414</v>
      </c>
      <c r="B373" s="15">
        <v>1.52</v>
      </c>
    </row>
    <row r="374" spans="1:2" x14ac:dyDescent="0.3">
      <c r="A374" s="15" t="s">
        <v>415</v>
      </c>
      <c r="B374" s="15">
        <v>2.72</v>
      </c>
    </row>
    <row r="375" spans="1:2" x14ac:dyDescent="0.3">
      <c r="A375" s="15" t="s">
        <v>416</v>
      </c>
      <c r="B375" s="15">
        <v>1.2</v>
      </c>
    </row>
    <row r="376" spans="1:2" x14ac:dyDescent="0.3">
      <c r="A376" s="15" t="s">
        <v>417</v>
      </c>
      <c r="B376" s="15">
        <v>1.3120000000000001</v>
      </c>
    </row>
    <row r="377" spans="1:2" x14ac:dyDescent="0.3">
      <c r="A377" s="15" t="s">
        <v>418</v>
      </c>
      <c r="B377" s="15">
        <v>1.4</v>
      </c>
    </row>
    <row r="378" spans="1:2" x14ac:dyDescent="0.3">
      <c r="A378" s="15" t="s">
        <v>419</v>
      </c>
      <c r="B378" s="15">
        <v>0.32</v>
      </c>
    </row>
    <row r="379" spans="1:2" x14ac:dyDescent="0.3">
      <c r="A379" s="15" t="s">
        <v>420</v>
      </c>
      <c r="B379" s="15">
        <v>0.52</v>
      </c>
    </row>
    <row r="380" spans="1:2" x14ac:dyDescent="0.3">
      <c r="A380" s="15" t="s">
        <v>421</v>
      </c>
      <c r="B380" s="15">
        <v>0.24</v>
      </c>
    </row>
    <row r="381" spans="1:2" x14ac:dyDescent="0.3">
      <c r="A381" s="15" t="s">
        <v>422</v>
      </c>
      <c r="B381" s="15">
        <v>0.36</v>
      </c>
    </row>
    <row r="382" spans="1:2" x14ac:dyDescent="0.3">
      <c r="A382" s="15" t="s">
        <v>423</v>
      </c>
      <c r="B382" s="15">
        <v>0.72</v>
      </c>
    </row>
    <row r="383" spans="1:2" x14ac:dyDescent="0.3">
      <c r="A383" s="15" t="s">
        <v>424</v>
      </c>
      <c r="B383" s="15">
        <v>0.8</v>
      </c>
    </row>
    <row r="384" spans="1:2" x14ac:dyDescent="0.3">
      <c r="A384" s="15" t="s">
        <v>425</v>
      </c>
      <c r="B384" s="15">
        <v>0.96</v>
      </c>
    </row>
    <row r="385" spans="1:2" x14ac:dyDescent="0.3">
      <c r="A385" s="15" t="s">
        <v>426</v>
      </c>
      <c r="B385" s="15">
        <v>0.45</v>
      </c>
    </row>
    <row r="386" spans="1:2" x14ac:dyDescent="0.3">
      <c r="A386" s="15" t="s">
        <v>427</v>
      </c>
      <c r="B386" s="15">
        <v>0.25600000000000001</v>
      </c>
    </row>
    <row r="387" spans="1:2" x14ac:dyDescent="0.3">
      <c r="A387" s="15" t="s">
        <v>428</v>
      </c>
      <c r="B387" s="15">
        <v>1.2</v>
      </c>
    </row>
    <row r="388" spans="1:2" x14ac:dyDescent="0.3">
      <c r="A388" s="15" t="s">
        <v>429</v>
      </c>
      <c r="B388" s="15">
        <v>0.92</v>
      </c>
    </row>
    <row r="389" spans="1:2" x14ac:dyDescent="0.3">
      <c r="A389" s="15" t="s">
        <v>430</v>
      </c>
      <c r="B389" s="15">
        <v>1.2</v>
      </c>
    </row>
    <row r="390" spans="1:2" x14ac:dyDescent="0.3">
      <c r="A390" s="15" t="s">
        <v>431</v>
      </c>
      <c r="B390" s="15">
        <v>0.79200000000000004</v>
      </c>
    </row>
    <row r="391" spans="1:2" x14ac:dyDescent="0.3">
      <c r="A391" s="15" t="s">
        <v>432</v>
      </c>
      <c r="B391" s="15">
        <v>0.54500000000000004</v>
      </c>
    </row>
    <row r="392" spans="1:2" x14ac:dyDescent="0.3">
      <c r="A392" s="15" t="s">
        <v>433</v>
      </c>
      <c r="B392" s="15">
        <v>0.76</v>
      </c>
    </row>
    <row r="393" spans="1:2" x14ac:dyDescent="0.3">
      <c r="A393" s="15" t="s">
        <v>434</v>
      </c>
      <c r="B393" s="15">
        <v>0.66400000000000003</v>
      </c>
    </row>
    <row r="394" spans="1:2" x14ac:dyDescent="0.3">
      <c r="A394" s="15" t="s">
        <v>435</v>
      </c>
      <c r="B394" s="15">
        <v>0.36799999999999999</v>
      </c>
    </row>
    <row r="395" spans="1:2" x14ac:dyDescent="0.3">
      <c r="A395" s="15" t="s">
        <v>436</v>
      </c>
      <c r="B395" s="15">
        <v>0.30399999999999999</v>
      </c>
    </row>
    <row r="396" spans="1:2" x14ac:dyDescent="0.3">
      <c r="A396" s="15" t="s">
        <v>437</v>
      </c>
      <c r="B396" s="15">
        <v>0.48</v>
      </c>
    </row>
    <row r="397" spans="1:2" x14ac:dyDescent="0.3">
      <c r="A397" s="15" t="s">
        <v>438</v>
      </c>
      <c r="B397" s="15">
        <v>0.64</v>
      </c>
    </row>
    <row r="398" spans="1:2" x14ac:dyDescent="0.3">
      <c r="A398" s="15" t="s">
        <v>439</v>
      </c>
      <c r="B398" s="15">
        <v>0.64</v>
      </c>
    </row>
    <row r="399" spans="1:2" x14ac:dyDescent="0.3">
      <c r="A399" s="15" t="s">
        <v>440</v>
      </c>
      <c r="B399" s="15">
        <v>0.72</v>
      </c>
    </row>
    <row r="400" spans="1:2" x14ac:dyDescent="0.3">
      <c r="A400" s="15" t="s">
        <v>441</v>
      </c>
      <c r="B400" s="15">
        <v>2</v>
      </c>
    </row>
    <row r="401" spans="1:2" x14ac:dyDescent="0.3">
      <c r="A401" s="15" t="s">
        <v>442</v>
      </c>
      <c r="B401" s="15">
        <v>1.8</v>
      </c>
    </row>
    <row r="402" spans="1:2" x14ac:dyDescent="0.3">
      <c r="A402" s="15" t="s">
        <v>443</v>
      </c>
      <c r="B402" s="15">
        <v>1.4</v>
      </c>
    </row>
    <row r="403" spans="1:2" x14ac:dyDescent="0.3">
      <c r="A403" s="15" t="s">
        <v>444</v>
      </c>
      <c r="B403" s="15">
        <v>0.84</v>
      </c>
    </row>
    <row r="404" spans="1:2" x14ac:dyDescent="0.3">
      <c r="A404" s="15" t="s">
        <v>445</v>
      </c>
      <c r="B404" s="15">
        <v>0.88</v>
      </c>
    </row>
    <row r="405" spans="1:2" x14ac:dyDescent="0.3">
      <c r="A405" s="15" t="s">
        <v>446</v>
      </c>
      <c r="B405" s="15">
        <v>0.96</v>
      </c>
    </row>
    <row r="406" spans="1:2" x14ac:dyDescent="0.3">
      <c r="A406" s="15" t="s">
        <v>447</v>
      </c>
      <c r="B406" s="15">
        <v>0.96</v>
      </c>
    </row>
    <row r="407" spans="1:2" x14ac:dyDescent="0.3">
      <c r="A407" s="15" t="s">
        <v>448</v>
      </c>
      <c r="B407" s="15">
        <v>0.26400000000000001</v>
      </c>
    </row>
    <row r="408" spans="1:2" x14ac:dyDescent="0.3">
      <c r="A408" s="15" t="s">
        <v>449</v>
      </c>
      <c r="B408" s="15">
        <v>0.84</v>
      </c>
    </row>
    <row r="409" spans="1:2" x14ac:dyDescent="0.3">
      <c r="A409" s="15" t="s">
        <v>450</v>
      </c>
      <c r="B409" s="15">
        <v>0.20499999999999999</v>
      </c>
    </row>
    <row r="410" spans="1:2" x14ac:dyDescent="0.3">
      <c r="A410" s="15" t="s">
        <v>451</v>
      </c>
      <c r="B410" s="15">
        <v>0.20499999999999999</v>
      </c>
    </row>
    <row r="411" spans="1:2" x14ac:dyDescent="0.3">
      <c r="A411" s="15" t="s">
        <v>452</v>
      </c>
      <c r="B411" s="15">
        <v>0.88</v>
      </c>
    </row>
    <row r="412" spans="1:2" x14ac:dyDescent="0.3">
      <c r="A412" s="15" t="s">
        <v>453</v>
      </c>
      <c r="B412" s="15">
        <v>0.88</v>
      </c>
    </row>
    <row r="413" spans="1:2" x14ac:dyDescent="0.3">
      <c r="A413" s="15" t="s">
        <v>454</v>
      </c>
      <c r="B413" s="15">
        <v>1.32</v>
      </c>
    </row>
    <row r="414" spans="1:2" x14ac:dyDescent="0.3">
      <c r="A414" s="15" t="s">
        <v>455</v>
      </c>
      <c r="B414" s="15">
        <v>1.1200000000000001</v>
      </c>
    </row>
    <row r="415" spans="1:2" x14ac:dyDescent="0.3">
      <c r="A415" s="15" t="s">
        <v>456</v>
      </c>
      <c r="B415" s="15">
        <v>0.92</v>
      </c>
    </row>
    <row r="416" spans="1:2" x14ac:dyDescent="0.3">
      <c r="A416" s="15" t="s">
        <v>457</v>
      </c>
      <c r="B416" s="15">
        <v>0.92</v>
      </c>
    </row>
    <row r="417" spans="1:2" x14ac:dyDescent="0.3">
      <c r="A417" s="15" t="s">
        <v>458</v>
      </c>
      <c r="B417" s="15">
        <v>1.968</v>
      </c>
    </row>
    <row r="418" spans="1:2" x14ac:dyDescent="0.3">
      <c r="A418" s="15" t="s">
        <v>459</v>
      </c>
      <c r="B418" s="15">
        <v>0.8</v>
      </c>
    </row>
    <row r="419" spans="1:2" x14ac:dyDescent="0.3">
      <c r="A419" s="15" t="s">
        <v>460</v>
      </c>
      <c r="B419" s="15">
        <v>1.36</v>
      </c>
    </row>
    <row r="420" spans="1:2" x14ac:dyDescent="0.3">
      <c r="A420" s="15" t="s">
        <v>461</v>
      </c>
      <c r="B420" s="15">
        <v>1.44</v>
      </c>
    </row>
    <row r="421" spans="1:2" x14ac:dyDescent="0.3">
      <c r="A421" s="15" t="s">
        <v>462</v>
      </c>
      <c r="B421" s="15">
        <v>2.64</v>
      </c>
    </row>
    <row r="422" spans="1:2" x14ac:dyDescent="0.3">
      <c r="A422" s="15" t="s">
        <v>463</v>
      </c>
      <c r="B422" s="15">
        <v>0.92800000000000005</v>
      </c>
    </row>
    <row r="423" spans="1:2" x14ac:dyDescent="0.3">
      <c r="A423" s="15" t="s">
        <v>464</v>
      </c>
      <c r="B423" s="15">
        <v>0.57599999999999996</v>
      </c>
    </row>
    <row r="424" spans="1:2" x14ac:dyDescent="0.3">
      <c r="A424" s="15" t="s">
        <v>465</v>
      </c>
      <c r="B424" s="15">
        <v>0.4</v>
      </c>
    </row>
    <row r="425" spans="1:2" x14ac:dyDescent="0.3">
      <c r="A425" s="15" t="s">
        <v>466</v>
      </c>
      <c r="B425" s="15">
        <v>0.88</v>
      </c>
    </row>
    <row r="426" spans="1:2" x14ac:dyDescent="0.3">
      <c r="A426" s="15" t="s">
        <v>467</v>
      </c>
      <c r="B426" s="15">
        <v>1.04</v>
      </c>
    </row>
    <row r="427" spans="1:2" x14ac:dyDescent="0.3">
      <c r="A427" s="15" t="s">
        <v>468</v>
      </c>
      <c r="B427" s="15">
        <v>1.04</v>
      </c>
    </row>
    <row r="428" spans="1:2" x14ac:dyDescent="0.3">
      <c r="A428" s="15" t="s">
        <v>469</v>
      </c>
      <c r="B428" s="15">
        <v>0.20799999999999999</v>
      </c>
    </row>
    <row r="429" spans="1:2" x14ac:dyDescent="0.3">
      <c r="A429" s="15" t="s">
        <v>470</v>
      </c>
      <c r="B429" s="15">
        <v>0.32</v>
      </c>
    </row>
    <row r="430" spans="1:2" x14ac:dyDescent="0.3">
      <c r="A430" s="15" t="s">
        <v>471</v>
      </c>
      <c r="B430" s="15">
        <v>0.48</v>
      </c>
    </row>
    <row r="431" spans="1:2" x14ac:dyDescent="0.3">
      <c r="A431" s="15" t="s">
        <v>472</v>
      </c>
      <c r="B431" s="15">
        <v>0.4</v>
      </c>
    </row>
    <row r="432" spans="1:2" x14ac:dyDescent="0.3">
      <c r="A432" s="15" t="s">
        <v>473</v>
      </c>
      <c r="B432" s="15">
        <v>1.72</v>
      </c>
    </row>
    <row r="433" spans="1:2" x14ac:dyDescent="0.3">
      <c r="A433" s="15" t="s">
        <v>474</v>
      </c>
      <c r="B433" s="15">
        <v>1.52</v>
      </c>
    </row>
    <row r="434" spans="1:2" x14ac:dyDescent="0.3">
      <c r="A434" s="15" t="s">
        <v>475</v>
      </c>
      <c r="B434" s="15">
        <v>1.68</v>
      </c>
    </row>
    <row r="435" spans="1:2" x14ac:dyDescent="0.3">
      <c r="A435" s="15" t="s">
        <v>476</v>
      </c>
      <c r="B435" s="15">
        <v>0.96</v>
      </c>
    </row>
    <row r="436" spans="1:2" x14ac:dyDescent="0.3">
      <c r="A436" s="15" t="s">
        <v>477</v>
      </c>
      <c r="B436" s="15">
        <v>0.96</v>
      </c>
    </row>
    <row r="437" spans="1:2" x14ac:dyDescent="0.3">
      <c r="A437" s="15" t="s">
        <v>478</v>
      </c>
      <c r="B437" s="15">
        <v>0.8</v>
      </c>
    </row>
    <row r="438" spans="1:2" x14ac:dyDescent="0.3">
      <c r="A438" s="15" t="s">
        <v>479</v>
      </c>
      <c r="B438" s="15">
        <v>0.84</v>
      </c>
    </row>
    <row r="439" spans="1:2" x14ac:dyDescent="0.3">
      <c r="A439" s="15" t="s">
        <v>480</v>
      </c>
      <c r="B439" s="15">
        <v>0.4</v>
      </c>
    </row>
    <row r="440" spans="1:2" x14ac:dyDescent="0.3">
      <c r="A440" s="15" t="s">
        <v>481</v>
      </c>
      <c r="B440" s="15">
        <v>0.7</v>
      </c>
    </row>
    <row r="441" spans="1:2" x14ac:dyDescent="0.3">
      <c r="A441" s="15" t="s">
        <v>482</v>
      </c>
      <c r="B441" s="15">
        <v>0.25600000000000001</v>
      </c>
    </row>
    <row r="442" spans="1:2" x14ac:dyDescent="0.3">
      <c r="A442" s="15" t="s">
        <v>483</v>
      </c>
      <c r="B442" s="15">
        <v>1.28</v>
      </c>
    </row>
    <row r="443" spans="1:2" x14ac:dyDescent="0.3">
      <c r="A443" s="15" t="s">
        <v>484</v>
      </c>
      <c r="B443" s="15">
        <v>0.6</v>
      </c>
    </row>
    <row r="444" spans="1:2" x14ac:dyDescent="0.3">
      <c r="A444" s="15" t="s">
        <v>485</v>
      </c>
      <c r="B444" s="15">
        <v>0.74399999999999999</v>
      </c>
    </row>
    <row r="445" spans="1:2" x14ac:dyDescent="0.3">
      <c r="A445" s="15" t="s">
        <v>486</v>
      </c>
      <c r="B445" s="15">
        <v>0.68</v>
      </c>
    </row>
    <row r="446" spans="1:2" x14ac:dyDescent="0.3">
      <c r="A446" s="16" t="s">
        <v>487</v>
      </c>
      <c r="B446" s="16">
        <v>0.44800000000000001</v>
      </c>
    </row>
    <row r="447" spans="1:2" x14ac:dyDescent="0.3">
      <c r="A447" s="16" t="s">
        <v>488</v>
      </c>
      <c r="B447" s="16">
        <v>0.30499999999999999</v>
      </c>
    </row>
    <row r="448" spans="1:2" x14ac:dyDescent="0.3">
      <c r="A448" s="16" t="s">
        <v>489</v>
      </c>
      <c r="B448" s="16">
        <v>0.41599999999999998</v>
      </c>
    </row>
    <row r="449" spans="1:2" x14ac:dyDescent="0.3">
      <c r="A449" s="16" t="s">
        <v>490</v>
      </c>
      <c r="B449" s="16">
        <v>0.184</v>
      </c>
    </row>
    <row r="450" spans="1:2" x14ac:dyDescent="0.3">
      <c r="A450" s="16" t="s">
        <v>491</v>
      </c>
      <c r="B450" s="16">
        <v>3.2</v>
      </c>
    </row>
    <row r="451" spans="1:2" x14ac:dyDescent="0.3">
      <c r="A451" s="16" t="s">
        <v>492</v>
      </c>
      <c r="B451" s="16">
        <v>1.24</v>
      </c>
    </row>
    <row r="452" spans="1:2" x14ac:dyDescent="0.3">
      <c r="A452" s="16" t="s">
        <v>493</v>
      </c>
      <c r="B452" s="16">
        <v>2.56</v>
      </c>
    </row>
    <row r="453" spans="1:2" x14ac:dyDescent="0.3">
      <c r="A453" s="16" t="s">
        <v>494</v>
      </c>
      <c r="B453" s="16">
        <v>1.76</v>
      </c>
    </row>
    <row r="454" spans="1:2" x14ac:dyDescent="0.3">
      <c r="A454" s="16" t="s">
        <v>495</v>
      </c>
      <c r="B454" s="16">
        <v>0.52</v>
      </c>
    </row>
    <row r="455" spans="1:2" x14ac:dyDescent="0.3">
      <c r="A455" s="16" t="s">
        <v>496</v>
      </c>
      <c r="B455" s="16">
        <v>0.2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74AFA-2A51-4F56-B08D-6C2A9CCCFCE5}">
  <dimension ref="B2:L61"/>
  <sheetViews>
    <sheetView workbookViewId="0">
      <selection activeCell="H49" sqref="H49"/>
    </sheetView>
  </sheetViews>
  <sheetFormatPr defaultRowHeight="14.5" x14ac:dyDescent="0.35"/>
  <cols>
    <col min="2" max="2" width="17.54296875" customWidth="1"/>
    <col min="3" max="3" width="16.81640625" customWidth="1"/>
    <col min="7" max="7" width="14.08984375" customWidth="1"/>
    <col min="8" max="8" width="17.1796875" customWidth="1"/>
    <col min="11" max="11" width="12.1796875" customWidth="1"/>
  </cols>
  <sheetData>
    <row r="2" spans="2:12" x14ac:dyDescent="0.35">
      <c r="B2" s="25" t="s">
        <v>40</v>
      </c>
      <c r="C2" s="25"/>
    </row>
    <row r="3" spans="2:12" x14ac:dyDescent="0.35">
      <c r="B3" s="17" t="s">
        <v>500</v>
      </c>
      <c r="C3" s="17" t="s">
        <v>40</v>
      </c>
      <c r="G3" s="17" t="s">
        <v>525</v>
      </c>
      <c r="H3" s="17" t="s">
        <v>526</v>
      </c>
      <c r="K3" t="s">
        <v>532</v>
      </c>
    </row>
    <row r="4" spans="2:12" x14ac:dyDescent="0.35">
      <c r="B4" s="18" t="s">
        <v>501</v>
      </c>
      <c r="C4" s="18">
        <v>1</v>
      </c>
      <c r="G4" s="18">
        <v>1</v>
      </c>
      <c r="H4" s="18">
        <v>1.3</v>
      </c>
      <c r="K4" s="21" t="s">
        <v>533</v>
      </c>
      <c r="L4" s="21" t="s">
        <v>534</v>
      </c>
    </row>
    <row r="5" spans="2:12" x14ac:dyDescent="0.35">
      <c r="B5" s="18" t="s">
        <v>502</v>
      </c>
      <c r="C5" s="18">
        <v>0.9</v>
      </c>
      <c r="G5" s="18">
        <v>2</v>
      </c>
      <c r="H5" s="18">
        <v>3.3</v>
      </c>
      <c r="K5">
        <v>2</v>
      </c>
      <c r="L5">
        <v>0.85</v>
      </c>
    </row>
    <row r="6" spans="2:12" x14ac:dyDescent="0.35">
      <c r="B6" s="18" t="s">
        <v>503</v>
      </c>
      <c r="C6" s="18">
        <v>0.8</v>
      </c>
      <c r="G6" s="18">
        <v>3</v>
      </c>
      <c r="H6" s="18">
        <v>5.6</v>
      </c>
      <c r="K6">
        <v>4</v>
      </c>
      <c r="L6">
        <v>0.86</v>
      </c>
    </row>
    <row r="7" spans="2:12" x14ac:dyDescent="0.35">
      <c r="B7" s="18" t="s">
        <v>504</v>
      </c>
      <c r="C7" s="18">
        <v>0.7</v>
      </c>
      <c r="G7" s="18">
        <v>4</v>
      </c>
      <c r="H7" s="18">
        <v>6.9</v>
      </c>
      <c r="K7">
        <v>6</v>
      </c>
      <c r="L7">
        <v>0.87</v>
      </c>
    </row>
    <row r="8" spans="2:12" x14ac:dyDescent="0.35">
      <c r="G8" s="18">
        <v>5</v>
      </c>
      <c r="H8" s="18">
        <v>9</v>
      </c>
      <c r="K8">
        <v>8</v>
      </c>
      <c r="L8">
        <v>0.88</v>
      </c>
    </row>
    <row r="9" spans="2:12" x14ac:dyDescent="0.35">
      <c r="G9" s="18">
        <v>6</v>
      </c>
      <c r="H9" s="18">
        <v>9.5</v>
      </c>
      <c r="K9">
        <v>10</v>
      </c>
      <c r="L9">
        <v>0.9</v>
      </c>
    </row>
    <row r="10" spans="2:12" x14ac:dyDescent="0.35">
      <c r="B10" s="25" t="s">
        <v>505</v>
      </c>
      <c r="C10" s="25"/>
      <c r="G10" s="18">
        <v>7</v>
      </c>
      <c r="H10" s="18">
        <v>10</v>
      </c>
      <c r="K10">
        <v>20</v>
      </c>
      <c r="L10">
        <v>0.95</v>
      </c>
    </row>
    <row r="11" spans="2:12" x14ac:dyDescent="0.35">
      <c r="B11" s="17" t="s">
        <v>506</v>
      </c>
      <c r="C11" s="17" t="s">
        <v>505</v>
      </c>
      <c r="G11" s="18">
        <v>8</v>
      </c>
      <c r="H11" s="18">
        <v>11</v>
      </c>
      <c r="K11">
        <v>25</v>
      </c>
      <c r="L11">
        <v>1</v>
      </c>
    </row>
    <row r="12" spans="2:12" x14ac:dyDescent="0.35">
      <c r="B12" s="18" t="s">
        <v>507</v>
      </c>
      <c r="C12" s="18">
        <v>1.1000000000000001</v>
      </c>
      <c r="G12" s="18">
        <v>9</v>
      </c>
      <c r="H12" s="18">
        <v>11.9</v>
      </c>
      <c r="K12">
        <v>30</v>
      </c>
      <c r="L12">
        <v>1.04</v>
      </c>
    </row>
    <row r="13" spans="2:12" x14ac:dyDescent="0.35">
      <c r="B13" s="18" t="s">
        <v>508</v>
      </c>
      <c r="C13" s="18">
        <v>1</v>
      </c>
      <c r="G13" s="18">
        <v>10</v>
      </c>
      <c r="H13" s="18">
        <v>12.7</v>
      </c>
      <c r="K13">
        <v>40</v>
      </c>
      <c r="L13">
        <v>1.1000000000000001</v>
      </c>
    </row>
    <row r="14" spans="2:12" x14ac:dyDescent="0.35">
      <c r="B14" s="18" t="s">
        <v>509</v>
      </c>
      <c r="C14" s="18">
        <v>0.9</v>
      </c>
      <c r="G14" s="18">
        <v>12</v>
      </c>
      <c r="H14" s="18">
        <v>14.3</v>
      </c>
      <c r="K14">
        <v>50</v>
      </c>
      <c r="L14">
        <v>1.2</v>
      </c>
    </row>
    <row r="15" spans="2:12" x14ac:dyDescent="0.35">
      <c r="B15" s="18" t="s">
        <v>510</v>
      </c>
      <c r="C15" s="18">
        <v>0.85</v>
      </c>
      <c r="G15" s="18">
        <v>14</v>
      </c>
      <c r="H15" s="18">
        <v>15.7</v>
      </c>
      <c r="K15">
        <v>60</v>
      </c>
      <c r="L15">
        <v>1.33</v>
      </c>
    </row>
    <row r="16" spans="2:12" x14ac:dyDescent="0.35">
      <c r="G16" s="18">
        <v>16</v>
      </c>
      <c r="H16" s="18">
        <v>17.100000000000001</v>
      </c>
      <c r="K16">
        <v>70</v>
      </c>
      <c r="L16">
        <v>1.55</v>
      </c>
    </row>
    <row r="17" spans="2:12" x14ac:dyDescent="0.35">
      <c r="G17" s="18">
        <v>18</v>
      </c>
      <c r="H17" s="18">
        <v>18.600000000000001</v>
      </c>
      <c r="K17">
        <v>80</v>
      </c>
      <c r="L17">
        <v>2.0299999999999998</v>
      </c>
    </row>
    <row r="18" spans="2:12" x14ac:dyDescent="0.35">
      <c r="B18" s="21" t="s">
        <v>5</v>
      </c>
      <c r="C18" s="21" t="s">
        <v>530</v>
      </c>
      <c r="G18" s="18">
        <v>20</v>
      </c>
      <c r="H18" s="18">
        <v>20</v>
      </c>
      <c r="K18">
        <v>85</v>
      </c>
      <c r="L18">
        <v>2.5</v>
      </c>
    </row>
    <row r="19" spans="2:12" x14ac:dyDescent="0.35">
      <c r="B19">
        <v>0.5</v>
      </c>
      <c r="C19">
        <v>1.3</v>
      </c>
      <c r="G19" s="18">
        <v>22</v>
      </c>
      <c r="H19" s="18">
        <v>21.2</v>
      </c>
      <c r="K19">
        <v>90</v>
      </c>
      <c r="L19">
        <v>3</v>
      </c>
    </row>
    <row r="20" spans="2:12" x14ac:dyDescent="0.35">
      <c r="B20">
        <v>0.8</v>
      </c>
      <c r="C20">
        <v>1.2</v>
      </c>
      <c r="G20" s="18">
        <v>24</v>
      </c>
      <c r="H20" s="18">
        <v>22.5</v>
      </c>
      <c r="K20">
        <v>92</v>
      </c>
      <c r="L20">
        <v>3.5</v>
      </c>
    </row>
    <row r="21" spans="2:12" x14ac:dyDescent="0.35">
      <c r="B21">
        <v>0.9</v>
      </c>
      <c r="C21">
        <v>1.5</v>
      </c>
      <c r="G21" s="18">
        <v>26</v>
      </c>
      <c r="H21" s="18">
        <v>24</v>
      </c>
      <c r="K21">
        <v>94</v>
      </c>
      <c r="L21">
        <v>3.9</v>
      </c>
    </row>
    <row r="22" spans="2:12" x14ac:dyDescent="0.35">
      <c r="B22">
        <v>1</v>
      </c>
      <c r="C22">
        <v>1.7</v>
      </c>
      <c r="G22" s="18">
        <v>28</v>
      </c>
      <c r="H22" s="18">
        <v>25</v>
      </c>
      <c r="K22">
        <v>96</v>
      </c>
      <c r="L22">
        <v>4.5</v>
      </c>
    </row>
    <row r="23" spans="2:12" x14ac:dyDescent="0.35">
      <c r="B23">
        <v>1.6</v>
      </c>
      <c r="C23">
        <v>1</v>
      </c>
      <c r="G23" s="18">
        <v>30</v>
      </c>
      <c r="H23" s="18">
        <v>25.2</v>
      </c>
      <c r="K23">
        <v>98</v>
      </c>
      <c r="L23">
        <v>6</v>
      </c>
    </row>
    <row r="24" spans="2:12" x14ac:dyDescent="0.35">
      <c r="B24">
        <v>1.6</v>
      </c>
      <c r="C24">
        <v>1.35</v>
      </c>
      <c r="G24" s="18">
        <v>32</v>
      </c>
      <c r="H24" s="18">
        <v>27.4</v>
      </c>
    </row>
    <row r="25" spans="2:12" x14ac:dyDescent="0.35">
      <c r="B25">
        <v>1.79</v>
      </c>
      <c r="C25">
        <v>1.1000000000000001</v>
      </c>
      <c r="G25" s="18">
        <v>35</v>
      </c>
      <c r="H25" s="18">
        <v>28.5</v>
      </c>
      <c r="K25" s="25" t="s">
        <v>537</v>
      </c>
      <c r="L25" s="25"/>
    </row>
    <row r="26" spans="2:12" x14ac:dyDescent="0.35">
      <c r="B26">
        <v>2.2999999999999998</v>
      </c>
      <c r="C26">
        <v>1.5</v>
      </c>
      <c r="G26" s="18">
        <v>36</v>
      </c>
      <c r="H26" s="18">
        <v>29.5</v>
      </c>
      <c r="K26" s="21" t="s">
        <v>536</v>
      </c>
      <c r="L26" s="21" t="s">
        <v>538</v>
      </c>
    </row>
    <row r="27" spans="2:12" x14ac:dyDescent="0.35">
      <c r="B27">
        <v>2.4</v>
      </c>
      <c r="C27">
        <v>1</v>
      </c>
      <c r="G27" s="18">
        <v>38</v>
      </c>
      <c r="H27" s="18">
        <v>30.8</v>
      </c>
      <c r="K27">
        <v>10</v>
      </c>
      <c r="L27">
        <v>6.5</v>
      </c>
    </row>
    <row r="28" spans="2:12" x14ac:dyDescent="0.35">
      <c r="G28" s="18">
        <v>40</v>
      </c>
      <c r="H28" s="18">
        <v>32</v>
      </c>
      <c r="K28">
        <v>20</v>
      </c>
      <c r="L28">
        <v>4.7</v>
      </c>
    </row>
    <row r="29" spans="2:12" x14ac:dyDescent="0.35">
      <c r="G29" s="18">
        <v>42</v>
      </c>
      <c r="H29" s="18">
        <v>33</v>
      </c>
      <c r="K29">
        <v>30</v>
      </c>
      <c r="L29">
        <v>3.7</v>
      </c>
    </row>
    <row r="30" spans="2:12" x14ac:dyDescent="0.35">
      <c r="G30" s="18">
        <v>44</v>
      </c>
      <c r="H30" s="18">
        <v>34</v>
      </c>
      <c r="K30">
        <v>40</v>
      </c>
      <c r="L30">
        <v>3</v>
      </c>
    </row>
    <row r="31" spans="2:12" x14ac:dyDescent="0.35">
      <c r="B31" t="s">
        <v>535</v>
      </c>
      <c r="C31" t="s">
        <v>12</v>
      </c>
      <c r="G31" s="18">
        <v>46</v>
      </c>
      <c r="H31" s="18">
        <v>35</v>
      </c>
      <c r="K31">
        <v>50</v>
      </c>
      <c r="L31">
        <v>2.5</v>
      </c>
    </row>
    <row r="32" spans="2:12" x14ac:dyDescent="0.35">
      <c r="B32">
        <v>0</v>
      </c>
      <c r="C32">
        <v>22.1</v>
      </c>
      <c r="G32" s="18">
        <v>48</v>
      </c>
      <c r="H32" s="18">
        <v>36</v>
      </c>
      <c r="K32">
        <v>60</v>
      </c>
      <c r="L32">
        <v>2.1</v>
      </c>
    </row>
    <row r="33" spans="2:12" x14ac:dyDescent="0.35">
      <c r="B33">
        <v>5</v>
      </c>
      <c r="C33">
        <v>13.7</v>
      </c>
      <c r="G33" s="18">
        <v>50</v>
      </c>
      <c r="H33" s="18">
        <v>37</v>
      </c>
      <c r="K33">
        <v>70</v>
      </c>
      <c r="L33">
        <v>1.7</v>
      </c>
    </row>
    <row r="34" spans="2:12" x14ac:dyDescent="0.35">
      <c r="B34">
        <v>10</v>
      </c>
      <c r="C34">
        <v>27</v>
      </c>
      <c r="G34" s="18">
        <v>55</v>
      </c>
      <c r="H34" s="18">
        <v>40</v>
      </c>
      <c r="K34">
        <v>75</v>
      </c>
      <c r="L34">
        <v>1.55</v>
      </c>
    </row>
    <row r="35" spans="2:12" x14ac:dyDescent="0.35">
      <c r="B35">
        <v>25</v>
      </c>
      <c r="C35">
        <v>22.7</v>
      </c>
      <c r="G35" s="18">
        <v>60</v>
      </c>
      <c r="H35" s="18">
        <v>42</v>
      </c>
      <c r="K35">
        <v>80</v>
      </c>
      <c r="L35">
        <v>1.4</v>
      </c>
    </row>
    <row r="36" spans="2:12" x14ac:dyDescent="0.35">
      <c r="B36">
        <v>40</v>
      </c>
      <c r="C36">
        <v>14.5</v>
      </c>
      <c r="G36" s="18">
        <v>65</v>
      </c>
      <c r="H36" s="18">
        <v>44</v>
      </c>
      <c r="K36">
        <v>85</v>
      </c>
      <c r="L36">
        <v>1.25</v>
      </c>
    </row>
    <row r="37" spans="2:12" x14ac:dyDescent="0.35">
      <c r="G37" s="18">
        <v>70</v>
      </c>
      <c r="H37" s="18">
        <v>45</v>
      </c>
      <c r="K37">
        <v>90</v>
      </c>
      <c r="L37">
        <v>1.1000000000000001</v>
      </c>
    </row>
    <row r="38" spans="2:12" x14ac:dyDescent="0.35">
      <c r="G38" s="18">
        <v>75</v>
      </c>
      <c r="H38" s="18">
        <v>45</v>
      </c>
      <c r="K38">
        <v>92</v>
      </c>
      <c r="L38">
        <v>1.05</v>
      </c>
    </row>
    <row r="39" spans="2:12" x14ac:dyDescent="0.35">
      <c r="G39" s="18">
        <v>80</v>
      </c>
      <c r="H39" s="18">
        <v>50</v>
      </c>
      <c r="K39">
        <v>94</v>
      </c>
      <c r="L39">
        <v>1</v>
      </c>
    </row>
    <row r="40" spans="2:12" x14ac:dyDescent="0.35">
      <c r="B40" s="17" t="s">
        <v>542</v>
      </c>
      <c r="C40" s="17" t="s">
        <v>541</v>
      </c>
      <c r="G40" s="18">
        <v>85</v>
      </c>
      <c r="H40" s="18">
        <v>52.5</v>
      </c>
      <c r="K40">
        <v>96</v>
      </c>
      <c r="L40">
        <v>0.93</v>
      </c>
    </row>
    <row r="41" spans="2:12" x14ac:dyDescent="0.35">
      <c r="B41" s="18">
        <v>0</v>
      </c>
      <c r="C41" s="18">
        <v>1</v>
      </c>
      <c r="G41" s="18">
        <v>90</v>
      </c>
      <c r="H41" s="18">
        <v>55</v>
      </c>
      <c r="K41">
        <v>98</v>
      </c>
      <c r="L41">
        <v>0.93</v>
      </c>
    </row>
    <row r="42" spans="2:12" x14ac:dyDescent="0.35">
      <c r="B42" s="18">
        <v>2</v>
      </c>
      <c r="C42" s="18">
        <v>1.05</v>
      </c>
      <c r="G42" s="18">
        <v>95</v>
      </c>
      <c r="H42" s="18">
        <v>57</v>
      </c>
      <c r="K42">
        <v>100</v>
      </c>
      <c r="L42">
        <v>0.8</v>
      </c>
    </row>
    <row r="43" spans="2:12" x14ac:dyDescent="0.35">
      <c r="B43" s="18">
        <v>4</v>
      </c>
      <c r="C43" s="18">
        <v>1.07</v>
      </c>
      <c r="G43" s="18">
        <v>100</v>
      </c>
      <c r="H43" s="18">
        <v>59</v>
      </c>
    </row>
    <row r="44" spans="2:12" x14ac:dyDescent="0.35">
      <c r="B44" s="18">
        <v>6</v>
      </c>
      <c r="C44" s="18">
        <v>1.1299999999999999</v>
      </c>
      <c r="G44" s="18">
        <v>110</v>
      </c>
      <c r="H44" s="18">
        <v>63</v>
      </c>
    </row>
    <row r="45" spans="2:12" x14ac:dyDescent="0.35">
      <c r="B45" s="18">
        <v>8</v>
      </c>
      <c r="C45" s="18">
        <v>1.25</v>
      </c>
      <c r="G45" s="18">
        <v>120</v>
      </c>
      <c r="H45" s="18">
        <v>66.5</v>
      </c>
    </row>
    <row r="46" spans="2:12" x14ac:dyDescent="0.35">
      <c r="B46" s="18">
        <v>10</v>
      </c>
      <c r="C46" s="18">
        <v>1.38</v>
      </c>
      <c r="G46" s="18">
        <v>130</v>
      </c>
      <c r="H46" s="18">
        <v>70</v>
      </c>
      <c r="K46" t="s">
        <v>513</v>
      </c>
      <c r="L46">
        <v>0.5</v>
      </c>
    </row>
    <row r="47" spans="2:12" x14ac:dyDescent="0.35">
      <c r="B47" s="18">
        <v>12</v>
      </c>
      <c r="C47" s="18">
        <v>1.5</v>
      </c>
      <c r="G47" s="18">
        <v>160</v>
      </c>
      <c r="H47" s="18">
        <v>0.7</v>
      </c>
      <c r="K47" t="s">
        <v>15</v>
      </c>
      <c r="L47">
        <v>0.2</v>
      </c>
    </row>
    <row r="48" spans="2:12" x14ac:dyDescent="0.35">
      <c r="B48" s="18">
        <v>14</v>
      </c>
      <c r="C48" s="18">
        <v>1.75</v>
      </c>
      <c r="G48" s="18">
        <v>180</v>
      </c>
      <c r="H48" s="18">
        <v>0.8</v>
      </c>
      <c r="K48" t="s">
        <v>514</v>
      </c>
      <c r="L48">
        <v>0.6</v>
      </c>
    </row>
    <row r="49" spans="2:8" x14ac:dyDescent="0.35">
      <c r="B49" s="18">
        <v>16</v>
      </c>
      <c r="C49" s="18">
        <v>2.13</v>
      </c>
      <c r="G49" s="18">
        <v>100</v>
      </c>
      <c r="H49" s="18">
        <v>0.9</v>
      </c>
    </row>
    <row r="50" spans="2:8" x14ac:dyDescent="0.35">
      <c r="B50" s="18">
        <v>18</v>
      </c>
      <c r="C50" s="18">
        <v>2.7</v>
      </c>
      <c r="G50" s="18">
        <v>200</v>
      </c>
      <c r="H50" s="18">
        <v>1.25</v>
      </c>
    </row>
    <row r="51" spans="2:8" x14ac:dyDescent="0.35">
      <c r="B51" s="18">
        <v>20</v>
      </c>
      <c r="C51" s="18">
        <v>3.25</v>
      </c>
      <c r="G51" s="18">
        <v>400</v>
      </c>
      <c r="H51" s="18">
        <v>1.75</v>
      </c>
    </row>
    <row r="52" spans="2:8" x14ac:dyDescent="0.35">
      <c r="B52" s="18">
        <v>22</v>
      </c>
      <c r="C52" s="18">
        <v>4</v>
      </c>
      <c r="G52" s="18">
        <v>600</v>
      </c>
      <c r="H52" s="18">
        <v>2.1</v>
      </c>
    </row>
    <row r="53" spans="2:8" x14ac:dyDescent="0.35">
      <c r="B53" s="18">
        <v>24</v>
      </c>
      <c r="C53" s="18">
        <v>5</v>
      </c>
      <c r="G53" s="18">
        <v>800</v>
      </c>
      <c r="H53" s="18">
        <v>2.4</v>
      </c>
    </row>
    <row r="54" spans="2:8" x14ac:dyDescent="0.35">
      <c r="B54" s="18">
        <v>26</v>
      </c>
      <c r="C54" s="18">
        <v>6</v>
      </c>
      <c r="G54" s="18">
        <v>1000</v>
      </c>
      <c r="H54" s="18">
        <v>2.7</v>
      </c>
    </row>
    <row r="55" spans="2:8" x14ac:dyDescent="0.35">
      <c r="B55" s="18">
        <v>28</v>
      </c>
      <c r="C55" s="18">
        <v>7</v>
      </c>
      <c r="G55" s="18">
        <v>1500</v>
      </c>
      <c r="H55" s="18">
        <v>3.3</v>
      </c>
    </row>
    <row r="56" spans="2:8" x14ac:dyDescent="0.35">
      <c r="B56" s="18">
        <v>30</v>
      </c>
      <c r="C56" s="18">
        <v>7.88</v>
      </c>
    </row>
    <row r="57" spans="2:8" x14ac:dyDescent="0.35">
      <c r="B57" s="18">
        <v>32</v>
      </c>
      <c r="C57" s="18">
        <v>9.31</v>
      </c>
    </row>
    <row r="58" spans="2:8" x14ac:dyDescent="0.35">
      <c r="B58" s="18">
        <v>34</v>
      </c>
      <c r="C58" s="18">
        <v>10.88</v>
      </c>
    </row>
    <row r="59" spans="2:8" x14ac:dyDescent="0.35">
      <c r="B59" s="18">
        <v>36</v>
      </c>
      <c r="C59" s="18">
        <v>12.25</v>
      </c>
    </row>
    <row r="60" spans="2:8" x14ac:dyDescent="0.35">
      <c r="B60" s="18">
        <v>38</v>
      </c>
      <c r="C60" s="18">
        <v>14</v>
      </c>
    </row>
    <row r="61" spans="2:8" x14ac:dyDescent="0.35">
      <c r="B61" s="18">
        <v>40</v>
      </c>
      <c r="C61" s="18">
        <v>15.2</v>
      </c>
    </row>
  </sheetData>
  <sortState xmlns:xlrd2="http://schemas.microsoft.com/office/spreadsheetml/2017/richdata2" ref="B32:C36">
    <sortCondition ref="B32:B36"/>
  </sortState>
  <mergeCells count="3">
    <mergeCell ref="B2:C2"/>
    <mergeCell ref="B10:C10"/>
    <mergeCell ref="K25:L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VSMA Screen Design</vt:lpstr>
      <vt:lpstr>Density - IS8730</vt:lpstr>
      <vt:lpstr>Reference 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Aryan Shankar(BTECH10090.24@bitmesra.ac.in)</cp:lastModifiedBy>
  <dcterms:created xsi:type="dcterms:W3CDTF">2026-05-26T19:57:51Z</dcterms:created>
  <dcterms:modified xsi:type="dcterms:W3CDTF">2026-06-02T20:04:23Z</dcterms:modified>
</cp:coreProperties>
</file>