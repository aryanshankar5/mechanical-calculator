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showObjects="none"/>
  <mc:AlternateContent xmlns:mc="http://schemas.openxmlformats.org/markup-compatibility/2006">
    <mc:Choice Requires="x15">
      <x15ac:absPath xmlns:x15ac="http://schemas.microsoft.com/office/spreadsheetml/2010/11/ac" url="C:\Users\BIT\Desktop\SAIL\Bearing\"/>
    </mc:Choice>
  </mc:AlternateContent>
  <xr:revisionPtr revIDLastSave="0" documentId="13_ncr:1_{668A978B-FB44-47F5-AE52-92EFF6EE161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earing Life Calculator" sheetId="1" r:id="rId1"/>
    <sheet name="X and Y factor Table" sheetId="2" r:id="rId2"/>
    <sheet name="Catlogue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5" i="4" l="1"/>
  <c r="N7" i="4"/>
  <c r="N6" i="4"/>
  <c r="C9" i="1" l="1"/>
  <c r="F13" i="2"/>
  <c r="C17" i="1"/>
  <c r="C19" i="1"/>
  <c r="B11" i="2"/>
  <c r="F11" i="2" s="1"/>
  <c r="C10" i="1" l="1"/>
  <c r="B12" i="2" s="1"/>
  <c r="F10" i="2" s="1"/>
  <c r="F12" i="2" s="1"/>
  <c r="B16" i="2" s="1"/>
  <c r="C14" i="1" l="1"/>
  <c r="B15" i="2"/>
  <c r="C13" i="1" s="1"/>
  <c r="C16" i="1" l="1"/>
  <c r="C20" i="1" s="1"/>
  <c r="N8" i="4" l="1"/>
  <c r="N9" i="4" s="1" a="1"/>
  <c r="N9" i="4" s="1"/>
  <c r="N15" i="4" l="1"/>
  <c r="C27" i="1" s="1"/>
  <c r="N13" i="4"/>
  <c r="C26" i="1" s="1"/>
  <c r="N14" i="4"/>
  <c r="C25" i="1" s="1"/>
  <c r="C28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<sst xmlns="http://schemas.openxmlformats.org/spreadsheetml/2006/main" count="78" uniqueCount="65">
  <si>
    <t>Unit</t>
  </si>
  <si>
    <r>
      <rPr>
        <sz val="11"/>
        <rFont val="Calibri"/>
        <family val="2"/>
      </rPr>
      <t>Radial Load</t>
    </r>
    <r>
      <rPr>
        <b/>
        <sz val="11"/>
        <rFont val="Calibri"/>
        <family val="2"/>
      </rPr>
      <t xml:space="preserve"> Fr </t>
    </r>
  </si>
  <si>
    <r>
      <rPr>
        <sz val="11"/>
        <rFont val="Calibri"/>
        <family val="2"/>
      </rPr>
      <t>Axial Load</t>
    </r>
    <r>
      <rPr>
        <b/>
        <sz val="11"/>
        <rFont val="Calibri"/>
        <family val="2"/>
      </rPr>
      <t xml:space="preserve"> Fa</t>
    </r>
  </si>
  <si>
    <r>
      <rPr>
        <sz val="11"/>
        <rFont val="Calibri"/>
        <family val="2"/>
      </rPr>
      <t>Radial Factor</t>
    </r>
    <r>
      <rPr>
        <b/>
        <sz val="11"/>
        <rFont val="Calibri"/>
        <family val="2"/>
      </rPr>
      <t xml:space="preserve"> X</t>
    </r>
  </si>
  <si>
    <r>
      <rPr>
        <sz val="11"/>
        <rFont val="Calibri"/>
        <family val="2"/>
      </rPr>
      <t>Axial Factor</t>
    </r>
    <r>
      <rPr>
        <b/>
        <sz val="11"/>
        <rFont val="Calibri"/>
        <family val="2"/>
      </rPr>
      <t xml:space="preserve"> Y</t>
    </r>
  </si>
  <si>
    <r>
      <rPr>
        <sz val="11"/>
        <rFont val="Calibri"/>
        <family val="2"/>
      </rPr>
      <t>Rotational Speed</t>
    </r>
    <r>
      <rPr>
        <b/>
        <sz val="11"/>
        <rFont val="Calibri"/>
        <family val="2"/>
      </rPr>
      <t xml:space="preserve"> N</t>
    </r>
  </si>
  <si>
    <t>rpm</t>
  </si>
  <si>
    <r>
      <rPr>
        <sz val="11"/>
        <rFont val="Calibri"/>
        <family val="2"/>
      </rPr>
      <t>Equivalent Dynamic Load</t>
    </r>
    <r>
      <rPr>
        <b/>
        <sz val="11"/>
        <rFont val="Calibri"/>
        <family val="2"/>
      </rPr>
      <t xml:space="preserve"> P</t>
    </r>
  </si>
  <si>
    <r>
      <rPr>
        <sz val="11"/>
        <rFont val="Calibri"/>
        <family val="2"/>
      </rPr>
      <t xml:space="preserve">Exponent </t>
    </r>
    <r>
      <rPr>
        <b/>
        <sz val="11"/>
        <rFont val="Calibri"/>
        <family val="2"/>
      </rPr>
      <t>p</t>
    </r>
  </si>
  <si>
    <r>
      <t>L10</t>
    </r>
    <r>
      <rPr>
        <sz val="11"/>
        <rFont val="Calibri"/>
        <family val="2"/>
      </rPr>
      <t xml:space="preserve"> Life </t>
    </r>
  </si>
  <si>
    <t>Hours</t>
  </si>
  <si>
    <r>
      <rPr>
        <sz val="11"/>
        <rFont val="Calibri"/>
        <family val="2"/>
      </rPr>
      <t>Dynamic Load Rating</t>
    </r>
    <r>
      <rPr>
        <b/>
        <sz val="11"/>
        <rFont val="Calibri"/>
        <family val="2"/>
      </rPr>
      <t xml:space="preserve"> C0 </t>
    </r>
  </si>
  <si>
    <t>Parameters</t>
  </si>
  <si>
    <t>Value</t>
  </si>
  <si>
    <r>
      <t xml:space="preserve">Number of rows </t>
    </r>
    <r>
      <rPr>
        <b/>
        <sz val="11"/>
        <color theme="1"/>
        <rFont val="Calibri"/>
        <family val="2"/>
        <scheme val="minor"/>
      </rPr>
      <t>i</t>
    </r>
  </si>
  <si>
    <r>
      <rPr>
        <sz val="11"/>
        <rFont val="Calibri"/>
        <family val="2"/>
      </rPr>
      <t>Ball Diameter</t>
    </r>
    <r>
      <rPr>
        <b/>
        <sz val="11"/>
        <rFont val="Calibri"/>
        <family val="2"/>
      </rPr>
      <t xml:space="preserve"> Dw</t>
    </r>
  </si>
  <si>
    <r>
      <t xml:space="preserve">Factor depending upon size </t>
    </r>
    <r>
      <rPr>
        <b/>
        <sz val="11"/>
        <color theme="1"/>
        <rFont val="Calibri"/>
        <family val="2"/>
        <scheme val="minor"/>
      </rPr>
      <t>f</t>
    </r>
  </si>
  <si>
    <t>N</t>
  </si>
  <si>
    <t>D</t>
  </si>
  <si>
    <t>Fa/C0</t>
  </si>
  <si>
    <t>X (&lt;=e)</t>
  </si>
  <si>
    <t>Y (&lt;=e)</t>
  </si>
  <si>
    <t>X (&gt;e)</t>
  </si>
  <si>
    <t>Y (&gt;e)</t>
  </si>
  <si>
    <t>e</t>
  </si>
  <si>
    <t>Fa</t>
  </si>
  <si>
    <t>Fr</t>
  </si>
  <si>
    <t>C0</t>
  </si>
  <si>
    <t>Fa/Fr</t>
  </si>
  <si>
    <t>X</t>
  </si>
  <si>
    <t>Y</t>
  </si>
  <si>
    <r>
      <t xml:space="preserve">Lh </t>
    </r>
    <r>
      <rPr>
        <sz val="11"/>
        <rFont val="Calibri"/>
        <family val="2"/>
      </rPr>
      <t>Life required</t>
    </r>
  </si>
  <si>
    <t>hours</t>
  </si>
  <si>
    <r>
      <rPr>
        <sz val="11"/>
        <rFont val="Calibri"/>
        <family val="2"/>
      </rPr>
      <t>Dynamic Load Capacity</t>
    </r>
    <r>
      <rPr>
        <b/>
        <sz val="11"/>
        <rFont val="Calibri"/>
        <family val="2"/>
      </rPr>
      <t xml:space="preserve"> C</t>
    </r>
  </si>
  <si>
    <t>mm</t>
  </si>
  <si>
    <t>d</t>
  </si>
  <si>
    <t>B</t>
  </si>
  <si>
    <t>IS3823</t>
  </si>
  <si>
    <t>Formulas</t>
  </si>
  <si>
    <t>IS6455</t>
  </si>
  <si>
    <t>Catlogue Dimensions</t>
  </si>
  <si>
    <t>Bearing Life Calculator</t>
  </si>
  <si>
    <t>Type of Bearing</t>
  </si>
  <si>
    <t>p</t>
  </si>
  <si>
    <r>
      <rPr>
        <sz val="11"/>
        <rFont val="Calibri"/>
        <family val="2"/>
      </rPr>
      <t>Outer Diameter</t>
    </r>
    <r>
      <rPr>
        <b/>
        <sz val="11"/>
        <rFont val="Calibri"/>
        <family val="2"/>
      </rPr>
      <t xml:space="preserve"> D</t>
    </r>
  </si>
  <si>
    <r>
      <rPr>
        <sz val="11"/>
        <rFont val="Calibri"/>
        <family val="2"/>
      </rPr>
      <t>Inner Diameter</t>
    </r>
    <r>
      <rPr>
        <b/>
        <sz val="11"/>
        <rFont val="Calibri"/>
        <family val="2"/>
      </rPr>
      <t xml:space="preserve"> d</t>
    </r>
  </si>
  <si>
    <r>
      <rPr>
        <sz val="11"/>
        <rFont val="Calibri"/>
        <family val="2"/>
      </rPr>
      <t>Bore</t>
    </r>
    <r>
      <rPr>
        <b/>
        <sz val="11"/>
        <rFont val="Calibri"/>
        <family val="2"/>
      </rPr>
      <t xml:space="preserve"> B</t>
    </r>
  </si>
  <si>
    <r>
      <rPr>
        <sz val="11"/>
        <rFont val="Calibri"/>
        <family val="2"/>
      </rPr>
      <t>Number of balls</t>
    </r>
    <r>
      <rPr>
        <b/>
        <sz val="11"/>
        <rFont val="Calibri"/>
        <family val="2"/>
      </rPr>
      <t xml:space="preserve"> Z</t>
    </r>
  </si>
  <si>
    <t>Dimensions of Bearing</t>
  </si>
  <si>
    <t>References</t>
  </si>
  <si>
    <t>Bearing No</t>
  </si>
  <si>
    <t>Bore d (mm)</t>
  </si>
  <si>
    <t>Outside Diameter D (mm)</t>
  </si>
  <si>
    <t>Width B (mm)</t>
  </si>
  <si>
    <t>Deep Groove C10 (N)</t>
  </si>
  <si>
    <t>Radial (N)</t>
  </si>
  <si>
    <t>Axial (N)</t>
  </si>
  <si>
    <t>Weight (kg)</t>
  </si>
  <si>
    <t>Radial</t>
  </si>
  <si>
    <t>Axial</t>
  </si>
  <si>
    <t>Load Rating</t>
  </si>
  <si>
    <t>ID</t>
  </si>
  <si>
    <t>Selected ID</t>
  </si>
  <si>
    <t>Spherical Roller Bearing C10 (N)</t>
  </si>
  <si>
    <t>Deep Groove Ball Bearing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</si>
</sst>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b/>
      <sz val="14"/>
      <name val="Calibri"/>
      <family val="2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BFDDF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F9D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Border="1"/>
    <xf numFmtId="0" fontId="4" fillId="0" borderId="0" xfId="0" applyFont="1" applyBorder="1"/>
    <xf numFmtId="0" fontId="2" fillId="3" borderId="10" xfId="0" applyFont="1" applyFill="1" applyBorder="1"/>
    <xf numFmtId="0" fontId="2" fillId="3" borderId="11" xfId="0" applyFont="1" applyFill="1" applyBorder="1"/>
    <xf numFmtId="0" fontId="2" fillId="3" borderId="12" xfId="0" applyFont="1" applyFill="1" applyBorder="1"/>
    <xf numFmtId="0" fontId="0" fillId="4" borderId="13" xfId="0" applyFill="1" applyBorder="1"/>
    <xf numFmtId="0" fontId="0" fillId="4" borderId="14" xfId="0" applyFill="1" applyBorder="1"/>
    <xf numFmtId="0" fontId="4" fillId="4" borderId="14" xfId="0" applyFont="1" applyFill="1" applyBorder="1"/>
    <xf numFmtId="0" fontId="4" fillId="4" borderId="15" xfId="0" applyFont="1" applyFill="1" applyBorder="1"/>
    <xf numFmtId="0" fontId="4" fillId="4" borderId="13" xfId="0" applyFont="1" applyFill="1" applyBorder="1"/>
    <xf numFmtId="0" fontId="0" fillId="3" borderId="5" xfId="0" applyFill="1" applyBorder="1"/>
    <xf numFmtId="0" fontId="0" fillId="3" borderId="0" xfId="0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0" fontId="0" fillId="3" borderId="9" xfId="0" applyFill="1" applyBorder="1"/>
    <xf numFmtId="0" fontId="0" fillId="5" borderId="0" xfId="0" applyFill="1" applyBorder="1"/>
    <xf numFmtId="0" fontId="0" fillId="5" borderId="6" xfId="0" applyFill="1" applyBorder="1"/>
    <xf numFmtId="0" fontId="0" fillId="6" borderId="0" xfId="0" applyFill="1" applyBorder="1"/>
    <xf numFmtId="0" fontId="0" fillId="6" borderId="6" xfId="0" applyFill="1" applyBorder="1"/>
    <xf numFmtId="0" fontId="0" fillId="6" borderId="8" xfId="0" applyFill="1" applyBorder="1"/>
    <xf numFmtId="0" fontId="0" fillId="6" borderId="9" xfId="0" applyFill="1" applyBorder="1"/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99FF"/>
      <color rgb="FFFFF9D2"/>
      <color rgb="FFBFDDF0"/>
      <color rgb="FF00FF00"/>
      <color rgb="FFFABF8E"/>
      <color rgb="FFF8A15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J28"/>
  <sheetViews>
    <sheetView tabSelected="1" topLeftCell="A3" zoomScale="94" workbookViewId="0">
      <selection activeCell="F14" sqref="F14"/>
    </sheetView>
  </sheetViews>
  <sheetFormatPr defaultRowHeight="14.5" x14ac:dyDescent="0.35"/>
  <cols>
    <col min="2" max="2" width="45.1796875" customWidth="1"/>
    <col min="3" max="3" width="22" customWidth="1"/>
    <col min="6" max="6" width="11.81640625" bestFit="1" customWidth="1"/>
    <col min="10" max="10" width="10.08984375" customWidth="1"/>
  </cols>
  <sheetData>
    <row r="3" spans="2:4" ht="18.5" customHeight="1" x14ac:dyDescent="0.35">
      <c r="B3" s="28" t="s">
        <v>41</v>
      </c>
      <c r="C3" s="29"/>
      <c r="D3" s="30"/>
    </row>
    <row r="4" spans="2:4" ht="18.5" customHeight="1" x14ac:dyDescent="0.35">
      <c r="B4" s="31"/>
      <c r="C4" s="32"/>
      <c r="D4" s="33"/>
    </row>
    <row r="5" spans="2:4" x14ac:dyDescent="0.35">
      <c r="B5" s="5" t="s">
        <v>12</v>
      </c>
      <c r="C5" s="6" t="s">
        <v>13</v>
      </c>
      <c r="D5" s="7" t="s">
        <v>0</v>
      </c>
    </row>
    <row r="6" spans="2:4" x14ac:dyDescent="0.35">
      <c r="B6" s="8" t="s">
        <v>42</v>
      </c>
      <c r="C6" s="19" t="s">
        <v>64</v>
      </c>
      <c r="D6" s="20"/>
    </row>
    <row r="7" spans="2:4" x14ac:dyDescent="0.35">
      <c r="B7" s="9" t="s">
        <v>14</v>
      </c>
      <c r="C7" s="19">
        <v>1</v>
      </c>
      <c r="D7" s="20"/>
    </row>
    <row r="8" spans="2:4" x14ac:dyDescent="0.35">
      <c r="B8" s="10" t="s">
        <v>15</v>
      </c>
      <c r="C8" s="19">
        <v>5</v>
      </c>
      <c r="D8" s="20" t="s">
        <v>34</v>
      </c>
    </row>
    <row r="9" spans="2:4" x14ac:dyDescent="0.35">
      <c r="B9" s="9" t="s">
        <v>16</v>
      </c>
      <c r="C9" s="21">
        <f>IF(C6="Spherical Roller Bearing",11.4,12.3)</f>
        <v>12.3</v>
      </c>
      <c r="D9" s="22"/>
    </row>
    <row r="10" spans="2:4" x14ac:dyDescent="0.35">
      <c r="B10" s="10" t="s">
        <v>11</v>
      </c>
      <c r="C10" s="21">
        <f>C9*C7*C8*C8</f>
        <v>307.5</v>
      </c>
      <c r="D10" s="22" t="s">
        <v>17</v>
      </c>
    </row>
    <row r="11" spans="2:4" x14ac:dyDescent="0.35">
      <c r="B11" s="10" t="s">
        <v>1</v>
      </c>
      <c r="C11" s="19">
        <v>10000</v>
      </c>
      <c r="D11" s="20" t="s">
        <v>17</v>
      </c>
    </row>
    <row r="12" spans="2:4" x14ac:dyDescent="0.35">
      <c r="B12" s="10" t="s">
        <v>2</v>
      </c>
      <c r="C12" s="19">
        <v>30000</v>
      </c>
      <c r="D12" s="20" t="s">
        <v>17</v>
      </c>
    </row>
    <row r="13" spans="2:4" x14ac:dyDescent="0.35">
      <c r="B13" s="10" t="s">
        <v>3</v>
      </c>
      <c r="C13" s="21">
        <f ca="1">'X and Y factor Table'!B15</f>
        <v>0.56000000000000005</v>
      </c>
      <c r="D13" s="22"/>
    </row>
    <row r="14" spans="2:4" x14ac:dyDescent="0.35">
      <c r="B14" s="10" t="s">
        <v>4</v>
      </c>
      <c r="C14" s="21">
        <f ca="1">'X and Y factor Table'!B16</f>
        <v>1</v>
      </c>
      <c r="D14" s="22"/>
    </row>
    <row r="15" spans="2:4" x14ac:dyDescent="0.35">
      <c r="B15" s="10" t="s">
        <v>5</v>
      </c>
      <c r="C15" s="19">
        <v>500</v>
      </c>
      <c r="D15" s="20" t="s">
        <v>6</v>
      </c>
    </row>
    <row r="16" spans="2:4" x14ac:dyDescent="0.35">
      <c r="B16" s="10" t="s">
        <v>7</v>
      </c>
      <c r="C16" s="21">
        <f ca="1">C13*C11+C14*C12</f>
        <v>35600</v>
      </c>
      <c r="D16" s="22" t="s">
        <v>17</v>
      </c>
    </row>
    <row r="17" spans="2:10" x14ac:dyDescent="0.35">
      <c r="B17" s="10" t="s">
        <v>8</v>
      </c>
      <c r="C17" s="21">
        <f>IF(C6="Spherical Roller Bearing",3,1/3)</f>
        <v>0.33333333333333331</v>
      </c>
      <c r="D17" s="22"/>
    </row>
    <row r="18" spans="2:10" x14ac:dyDescent="0.35">
      <c r="B18" s="10" t="s">
        <v>31</v>
      </c>
      <c r="C18" s="21">
        <v>10000</v>
      </c>
      <c r="D18" s="22" t="s">
        <v>32</v>
      </c>
    </row>
    <row r="19" spans="2:10" x14ac:dyDescent="0.35">
      <c r="B19" s="10" t="s">
        <v>9</v>
      </c>
      <c r="C19" s="21">
        <f>(60*C18*C15)/1000000</f>
        <v>300</v>
      </c>
      <c r="D19" s="22" t="s">
        <v>10</v>
      </c>
    </row>
    <row r="20" spans="2:10" x14ac:dyDescent="0.35">
      <c r="B20" s="11" t="s">
        <v>33</v>
      </c>
      <c r="C20" s="23">
        <f ca="1">IF(C17=3,C16*((C19)^(1/C17)),C16*((C19)^C17))</f>
        <v>238318.1302292523</v>
      </c>
      <c r="D20" s="24" t="s">
        <v>17</v>
      </c>
    </row>
    <row r="21" spans="2:10" x14ac:dyDescent="0.35">
      <c r="B21" s="4"/>
      <c r="C21" s="3"/>
      <c r="D21" s="3"/>
    </row>
    <row r="23" spans="2:10" ht="14.5" customHeight="1" x14ac:dyDescent="0.35">
      <c r="B23" s="34" t="s">
        <v>48</v>
      </c>
      <c r="C23" s="35"/>
      <c r="D23" s="36"/>
    </row>
    <row r="24" spans="2:10" ht="14.5" customHeight="1" x14ac:dyDescent="0.35">
      <c r="B24" s="37"/>
      <c r="C24" s="38"/>
      <c r="D24" s="39"/>
    </row>
    <row r="25" spans="2:10" x14ac:dyDescent="0.35">
      <c r="B25" s="12" t="s">
        <v>44</v>
      </c>
      <c r="C25" s="21">
        <f ca="1">Catlogue!N14</f>
        <v>110</v>
      </c>
      <c r="D25" s="22" t="s">
        <v>34</v>
      </c>
      <c r="H25" s="25" t="s">
        <v>49</v>
      </c>
      <c r="I25" s="26"/>
      <c r="J25" s="27"/>
    </row>
    <row r="26" spans="2:10" x14ac:dyDescent="0.35">
      <c r="B26" s="10" t="s">
        <v>45</v>
      </c>
      <c r="C26" s="21">
        <f ca="1">Catlogue!N13</f>
        <v>70</v>
      </c>
      <c r="D26" s="22" t="s">
        <v>34</v>
      </c>
      <c r="H26" s="13" t="s">
        <v>37</v>
      </c>
      <c r="I26" s="14" t="s">
        <v>38</v>
      </c>
      <c r="J26" s="15"/>
    </row>
    <row r="27" spans="2:10" x14ac:dyDescent="0.35">
      <c r="B27" s="10" t="s">
        <v>46</v>
      </c>
      <c r="C27" s="21">
        <f ca="1">Catlogue!N15</f>
        <v>20</v>
      </c>
      <c r="D27" s="22" t="s">
        <v>34</v>
      </c>
      <c r="H27" s="16" t="s">
        <v>39</v>
      </c>
      <c r="I27" s="17" t="s">
        <v>40</v>
      </c>
      <c r="J27" s="18"/>
    </row>
    <row r="28" spans="2:10" x14ac:dyDescent="0.35">
      <c r="B28" s="11" t="s">
        <v>47</v>
      </c>
      <c r="C28" s="23">
        <f ca="1">IF(ROUND((((C25+C26)/2)*3.14)/(C8+5),0)&lt;10,ROUND((((C25+C26)/2)*3.14)/(C8+5),0)+10,ROUND((((C25+C26)/2)*3.14)/(C8+5),0))</f>
        <v>28</v>
      </c>
      <c r="D28" s="24"/>
    </row>
  </sheetData>
  <mergeCells count="3">
    <mergeCell ref="H25:J25"/>
    <mergeCell ref="B3:D4"/>
    <mergeCell ref="B23:D24"/>
  </mergeCells>
  <dataValidations count="1">
    <dataValidation type="list" allowBlank="1" showInputMessage="1" showErrorMessage="1" sqref="C6" xr:uid="{6E6C98AB-D5D4-4F5F-AA28-FBCE74484251}">
      <formula1>"Deep Groove Ball Bearing, Spherical Roller Bearing"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C5F0A-41B6-4600-983F-CE46E439CEDA}">
  <dimension ref="A1:F16"/>
  <sheetViews>
    <sheetView workbookViewId="0">
      <selection activeCell="G16" sqref="G16"/>
    </sheetView>
  </sheetViews>
  <sheetFormatPr defaultRowHeight="14.5" x14ac:dyDescent="0.35"/>
  <sheetData>
    <row r="1" spans="1:6" x14ac:dyDescent="0.35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</row>
    <row r="2" spans="1:6" x14ac:dyDescent="0.35">
      <c r="A2" s="2">
        <v>2.5000000000000001E-2</v>
      </c>
      <c r="B2" s="2">
        <v>1</v>
      </c>
      <c r="C2" s="2">
        <v>0.1</v>
      </c>
      <c r="D2" s="2">
        <v>0.56000000000000005</v>
      </c>
      <c r="E2" s="2">
        <v>2</v>
      </c>
      <c r="F2" s="2">
        <v>0.22</v>
      </c>
    </row>
    <row r="3" spans="1:6" x14ac:dyDescent="0.35">
      <c r="A3" s="2">
        <v>0.04</v>
      </c>
      <c r="B3" s="2">
        <v>1</v>
      </c>
      <c r="C3" s="2">
        <v>0.1</v>
      </c>
      <c r="D3" s="2">
        <v>0.56000000000000005</v>
      </c>
      <c r="E3" s="2">
        <v>1.8</v>
      </c>
      <c r="F3" s="2">
        <v>0.24</v>
      </c>
    </row>
    <row r="4" spans="1:6" x14ac:dyDescent="0.35">
      <c r="A4" s="2">
        <v>7.0000000000000007E-2</v>
      </c>
      <c r="B4" s="2">
        <v>1</v>
      </c>
      <c r="C4" s="2">
        <v>0.1</v>
      </c>
      <c r="D4" s="2">
        <v>0.56000000000000005</v>
      </c>
      <c r="E4" s="2">
        <v>1.6</v>
      </c>
      <c r="F4" s="2">
        <v>0.27</v>
      </c>
    </row>
    <row r="5" spans="1:6" x14ac:dyDescent="0.35">
      <c r="A5" s="2">
        <v>0.13</v>
      </c>
      <c r="B5" s="2">
        <v>1</v>
      </c>
      <c r="C5" s="2">
        <v>0.1</v>
      </c>
      <c r="D5" s="2">
        <v>0.56000000000000005</v>
      </c>
      <c r="E5" s="2">
        <v>1.4</v>
      </c>
      <c r="F5" s="2">
        <v>0.31</v>
      </c>
    </row>
    <row r="6" spans="1:6" x14ac:dyDescent="0.35">
      <c r="A6" s="2">
        <v>0.25</v>
      </c>
      <c r="B6" s="2">
        <v>1</v>
      </c>
      <c r="C6" s="2">
        <v>0.1</v>
      </c>
      <c r="D6" s="2">
        <v>0.56000000000000005</v>
      </c>
      <c r="E6" s="2">
        <v>1.2</v>
      </c>
      <c r="F6" s="2">
        <v>0.37</v>
      </c>
    </row>
    <row r="7" spans="1:6" x14ac:dyDescent="0.35">
      <c r="A7" s="2">
        <v>0.5</v>
      </c>
      <c r="B7" s="2">
        <v>1</v>
      </c>
      <c r="C7" s="2">
        <v>0.1</v>
      </c>
      <c r="D7" s="2">
        <v>0.56000000000000005</v>
      </c>
      <c r="E7" s="2">
        <v>1</v>
      </c>
      <c r="F7" s="2">
        <v>0.44</v>
      </c>
    </row>
    <row r="10" spans="1:6" x14ac:dyDescent="0.35">
      <c r="A10" t="s">
        <v>25</v>
      </c>
      <c r="B10">
        <v>10000</v>
      </c>
      <c r="C10" t="s">
        <v>17</v>
      </c>
      <c r="E10" t="s">
        <v>19</v>
      </c>
      <c r="F10">
        <f>B10/B12</f>
        <v>32.520325203252035</v>
      </c>
    </row>
    <row r="11" spans="1:6" x14ac:dyDescent="0.35">
      <c r="A11" t="s">
        <v>26</v>
      </c>
      <c r="B11">
        <f>'Bearing Life Calculator'!C11</f>
        <v>10000</v>
      </c>
      <c r="C11" t="s">
        <v>17</v>
      </c>
      <c r="E11" t="s">
        <v>28</v>
      </c>
      <c r="F11">
        <f>B10/B11</f>
        <v>1</v>
      </c>
    </row>
    <row r="12" spans="1:6" x14ac:dyDescent="0.35">
      <c r="A12" t="s">
        <v>27</v>
      </c>
      <c r="B12">
        <f>'Bearing Life Calculator'!C10</f>
        <v>307.5</v>
      </c>
      <c r="C12" t="s">
        <v>17</v>
      </c>
      <c r="E12" t="s">
        <v>24</v>
      </c>
      <c r="F12">
        <f ca="1">IF(F10&lt;=A2, F2, IF(F10&gt;=A7, F7, _xlfn.FORECAST.LINEAR(F10, OFFSET(F1, MATCH(F10,A2:A7,1), 0, 2), OFFSET(A1, MATCH(F10,A2:A7,1), 0, 2))))</f>
        <v>0.44</v>
      </c>
    </row>
    <row r="13" spans="1:6" x14ac:dyDescent="0.35">
      <c r="E13" t="s">
        <v>43</v>
      </c>
      <c r="F13">
        <f>1/3</f>
        <v>0.33333333333333331</v>
      </c>
    </row>
    <row r="15" spans="1:6" x14ac:dyDescent="0.35">
      <c r="A15" t="s">
        <v>29</v>
      </c>
      <c r="B15">
        <f ca="1">IF(F11&lt;=F12,B2,D2)</f>
        <v>0.56000000000000005</v>
      </c>
    </row>
    <row r="16" spans="1:6" x14ac:dyDescent="0.35">
      <c r="A16" t="s">
        <v>30</v>
      </c>
      <c r="B16">
        <f ca="1">IF(F11 &lt;= F12, 0.1, IF(F10 &lt;= A2, E2, IF(F10 &gt;= A7, E7, _xlfn.FORECAST.LINEAR(F10, OFFSET(E1, MATCH(F10, A2:A7, 1), 0, 2), OFFSET(A1, MATCH(F10, A2:A7, 1), 0, 2)))))</f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52659-5965-4816-97C0-AE197A4C0C29}">
  <dimension ref="A1:N42"/>
  <sheetViews>
    <sheetView zoomScale="84" zoomScaleNormal="100" workbookViewId="0">
      <selection activeCell="N10" sqref="N10"/>
    </sheetView>
  </sheetViews>
  <sheetFormatPr defaultRowHeight="14.5" x14ac:dyDescent="0.35"/>
  <cols>
    <col min="2" max="2" width="11.81640625" customWidth="1"/>
    <col min="3" max="3" width="12.54296875" customWidth="1"/>
    <col min="4" max="4" width="23.54296875" customWidth="1"/>
    <col min="5" max="5" width="13.36328125" customWidth="1"/>
    <col min="6" max="6" width="19.81640625" customWidth="1"/>
    <col min="7" max="7" width="28.26953125" customWidth="1"/>
    <col min="8" max="9" width="10" customWidth="1"/>
    <col min="10" max="10" width="11.453125" customWidth="1"/>
    <col min="13" max="13" width="17.08984375" customWidth="1"/>
    <col min="14" max="14" width="22.453125" customWidth="1"/>
  </cols>
  <sheetData>
    <row r="1" spans="1:14" x14ac:dyDescent="0.35">
      <c r="A1" t="s">
        <v>61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63</v>
      </c>
      <c r="H1" t="s">
        <v>55</v>
      </c>
      <c r="I1" t="s">
        <v>56</v>
      </c>
      <c r="J1" t="s">
        <v>57</v>
      </c>
    </row>
    <row r="2" spans="1:14" x14ac:dyDescent="0.35">
      <c r="A2">
        <v>1</v>
      </c>
      <c r="B2">
        <v>607</v>
      </c>
      <c r="C2">
        <v>7</v>
      </c>
      <c r="D2">
        <v>19</v>
      </c>
      <c r="E2">
        <v>6</v>
      </c>
      <c r="F2">
        <v>14100</v>
      </c>
      <c r="G2">
        <v>12100</v>
      </c>
      <c r="H2">
        <v>2340</v>
      </c>
      <c r="I2">
        <v>950</v>
      </c>
      <c r="J2">
        <v>0.01</v>
      </c>
    </row>
    <row r="3" spans="1:14" x14ac:dyDescent="0.35">
      <c r="A3">
        <v>2</v>
      </c>
      <c r="B3">
        <v>608</v>
      </c>
      <c r="C3">
        <v>8</v>
      </c>
      <c r="D3">
        <v>22</v>
      </c>
      <c r="E3">
        <v>7</v>
      </c>
      <c r="F3">
        <v>25900</v>
      </c>
      <c r="G3">
        <v>27100</v>
      </c>
      <c r="H3">
        <v>3450</v>
      </c>
      <c r="I3">
        <v>1370</v>
      </c>
      <c r="J3">
        <v>0.01</v>
      </c>
    </row>
    <row r="4" spans="1:14" x14ac:dyDescent="0.35">
      <c r="A4">
        <v>3</v>
      </c>
      <c r="B4">
        <v>609</v>
      </c>
      <c r="C4">
        <v>9</v>
      </c>
      <c r="D4">
        <v>24</v>
      </c>
      <c r="E4">
        <v>7</v>
      </c>
      <c r="F4">
        <v>31200</v>
      </c>
      <c r="G4">
        <v>23300</v>
      </c>
      <c r="H4">
        <v>3900</v>
      </c>
      <c r="I4">
        <v>1660</v>
      </c>
      <c r="J4">
        <v>0.01</v>
      </c>
    </row>
    <row r="5" spans="1:14" x14ac:dyDescent="0.35">
      <c r="A5">
        <v>4</v>
      </c>
      <c r="B5">
        <v>6000</v>
      </c>
      <c r="C5">
        <v>10</v>
      </c>
      <c r="D5">
        <v>26</v>
      </c>
      <c r="E5">
        <v>8</v>
      </c>
      <c r="F5">
        <v>39100</v>
      </c>
      <c r="G5">
        <v>38500</v>
      </c>
      <c r="H5">
        <v>4750</v>
      </c>
      <c r="I5">
        <v>1950</v>
      </c>
      <c r="J5">
        <v>0.02</v>
      </c>
      <c r="M5" t="s">
        <v>42</v>
      </c>
      <c r="N5" t="str">
        <f>'Bearing Life Calculator'!C6</f>
        <v>Deep Groove Ball Bearing</v>
      </c>
    </row>
    <row r="6" spans="1:14" x14ac:dyDescent="0.35">
      <c r="A6">
        <v>5</v>
      </c>
      <c r="C6">
        <v>10</v>
      </c>
      <c r="D6">
        <v>30</v>
      </c>
      <c r="E6">
        <v>9</v>
      </c>
      <c r="F6">
        <v>50700</v>
      </c>
      <c r="G6">
        <v>49400</v>
      </c>
      <c r="H6">
        <v>5075</v>
      </c>
      <c r="I6">
        <v>2155</v>
      </c>
      <c r="J6">
        <v>0.02</v>
      </c>
      <c r="M6" t="s">
        <v>58</v>
      </c>
      <c r="N6">
        <f>'Bearing Life Calculator'!C11</f>
        <v>10000</v>
      </c>
    </row>
    <row r="7" spans="1:14" x14ac:dyDescent="0.35">
      <c r="A7">
        <v>6</v>
      </c>
      <c r="B7">
        <v>6001</v>
      </c>
      <c r="C7">
        <v>12</v>
      </c>
      <c r="D7">
        <v>28</v>
      </c>
      <c r="E7">
        <v>8</v>
      </c>
      <c r="F7">
        <v>59800</v>
      </c>
      <c r="G7">
        <v>59800</v>
      </c>
      <c r="H7">
        <v>5400</v>
      </c>
      <c r="I7">
        <v>2360</v>
      </c>
      <c r="J7">
        <v>0.02</v>
      </c>
      <c r="M7" t="s">
        <v>59</v>
      </c>
      <c r="N7">
        <f>'Bearing Life Calculator'!C12</f>
        <v>30000</v>
      </c>
    </row>
    <row r="8" spans="1:14" x14ac:dyDescent="0.35">
      <c r="A8">
        <v>7</v>
      </c>
      <c r="C8">
        <v>12</v>
      </c>
      <c r="D8">
        <v>32</v>
      </c>
      <c r="E8">
        <v>10</v>
      </c>
      <c r="F8">
        <v>68900</v>
      </c>
      <c r="G8">
        <v>70200</v>
      </c>
      <c r="H8">
        <v>5625</v>
      </c>
      <c r="I8">
        <v>2605</v>
      </c>
      <c r="J8">
        <v>2.5000000000000001E-2</v>
      </c>
      <c r="M8" t="s">
        <v>60</v>
      </c>
      <c r="N8">
        <f ca="1">'Bearing Life Calculator'!C20</f>
        <v>238318.1302292523</v>
      </c>
    </row>
    <row r="9" spans="1:14" x14ac:dyDescent="0.35">
      <c r="A9">
        <v>8</v>
      </c>
      <c r="B9">
        <v>6002</v>
      </c>
      <c r="C9">
        <v>15</v>
      </c>
      <c r="D9">
        <v>32</v>
      </c>
      <c r="E9">
        <v>9</v>
      </c>
      <c r="F9">
        <v>73450</v>
      </c>
      <c r="G9">
        <v>75400</v>
      </c>
      <c r="H9">
        <v>5850</v>
      </c>
      <c r="I9">
        <v>2850</v>
      </c>
      <c r="J9">
        <v>0.03</v>
      </c>
      <c r="M9" t="s">
        <v>62</v>
      </c>
      <c r="N9" cm="1">
        <f t="array" aca="1" ref="N9" ca="1">INDEX(A2:A42,MATCH(1,(H2:H42&gt;=N6)*(I2:I42&gt;=N7)*(IF(N5="Deep Groove Ball Bearing",F2:F42,G2:G42)&gt;=N8),0))</f>
        <v>32</v>
      </c>
    </row>
    <row r="10" spans="1:14" x14ac:dyDescent="0.35">
      <c r="A10">
        <v>9</v>
      </c>
      <c r="C10">
        <v>15</v>
      </c>
      <c r="D10">
        <v>35</v>
      </c>
      <c r="E10">
        <v>11</v>
      </c>
      <c r="F10">
        <v>78000</v>
      </c>
      <c r="G10">
        <v>80600</v>
      </c>
      <c r="H10">
        <v>6110</v>
      </c>
      <c r="I10">
        <v>3050</v>
      </c>
      <c r="J10">
        <v>3.5000000000000003E-2</v>
      </c>
    </row>
    <row r="11" spans="1:14" x14ac:dyDescent="0.35">
      <c r="A11">
        <v>10</v>
      </c>
      <c r="B11">
        <v>6003</v>
      </c>
      <c r="C11">
        <v>17</v>
      </c>
      <c r="D11">
        <v>35</v>
      </c>
      <c r="E11">
        <v>10</v>
      </c>
      <c r="F11">
        <v>86800</v>
      </c>
      <c r="G11">
        <v>90050</v>
      </c>
      <c r="H11">
        <v>6370</v>
      </c>
      <c r="I11">
        <v>3250</v>
      </c>
      <c r="J11">
        <v>0.04</v>
      </c>
    </row>
    <row r="12" spans="1:14" x14ac:dyDescent="0.35">
      <c r="A12">
        <v>11</v>
      </c>
      <c r="C12">
        <v>17</v>
      </c>
      <c r="D12">
        <v>40</v>
      </c>
      <c r="E12">
        <v>12</v>
      </c>
      <c r="F12">
        <v>95600</v>
      </c>
      <c r="G12">
        <v>99500</v>
      </c>
      <c r="H12">
        <v>8160</v>
      </c>
      <c r="I12">
        <v>4125</v>
      </c>
      <c r="J12">
        <v>5.5E-2</v>
      </c>
    </row>
    <row r="13" spans="1:14" x14ac:dyDescent="0.35">
      <c r="A13">
        <v>12</v>
      </c>
      <c r="B13">
        <v>6004</v>
      </c>
      <c r="C13">
        <v>20</v>
      </c>
      <c r="D13">
        <v>42</v>
      </c>
      <c r="E13">
        <v>12</v>
      </c>
      <c r="F13">
        <v>111300</v>
      </c>
      <c r="G13">
        <v>116250</v>
      </c>
      <c r="H13">
        <v>9950</v>
      </c>
      <c r="I13">
        <v>5000</v>
      </c>
      <c r="J13">
        <v>7.0000000000000007E-2</v>
      </c>
      <c r="M13" t="s">
        <v>35</v>
      </c>
      <c r="N13">
        <f ca="1">_xlfn.XLOOKUP(N9,A2:A42,C2:C42)</f>
        <v>70</v>
      </c>
    </row>
    <row r="14" spans="1:14" x14ac:dyDescent="0.35">
      <c r="A14">
        <v>13</v>
      </c>
      <c r="C14">
        <v>20</v>
      </c>
      <c r="D14">
        <v>47</v>
      </c>
      <c r="E14">
        <v>14</v>
      </c>
      <c r="F14">
        <v>127000</v>
      </c>
      <c r="G14">
        <v>133000</v>
      </c>
      <c r="H14">
        <v>10925</v>
      </c>
      <c r="I14">
        <v>5775</v>
      </c>
      <c r="J14">
        <v>7.4999999999999997E-2</v>
      </c>
      <c r="M14" t="s">
        <v>18</v>
      </c>
      <c r="N14">
        <f ca="1">_xlfn.XLOOKUP(N9,A2:A42,D2:D42)</f>
        <v>110</v>
      </c>
    </row>
    <row r="15" spans="1:14" x14ac:dyDescent="0.35">
      <c r="A15">
        <v>14</v>
      </c>
      <c r="B15">
        <v>6005</v>
      </c>
      <c r="C15">
        <v>25</v>
      </c>
      <c r="D15">
        <v>47</v>
      </c>
      <c r="E15">
        <v>12</v>
      </c>
      <c r="F15">
        <v>133500</v>
      </c>
      <c r="G15">
        <v>140500</v>
      </c>
      <c r="H15">
        <v>11900</v>
      </c>
      <c r="I15">
        <v>6550</v>
      </c>
      <c r="J15">
        <v>0.08</v>
      </c>
      <c r="M15" t="s">
        <v>36</v>
      </c>
      <c r="N15">
        <f ca="1">_xlfn.XLOOKUP(N9,A2:A42,E2:E42)</f>
        <v>20</v>
      </c>
    </row>
    <row r="16" spans="1:14" x14ac:dyDescent="0.35">
      <c r="A16">
        <v>15</v>
      </c>
      <c r="C16">
        <v>25</v>
      </c>
      <c r="D16">
        <v>52</v>
      </c>
      <c r="E16">
        <v>15</v>
      </c>
      <c r="F16">
        <v>140000</v>
      </c>
      <c r="G16">
        <v>148000</v>
      </c>
      <c r="H16">
        <v>12850</v>
      </c>
      <c r="I16">
        <v>7425</v>
      </c>
      <c r="J16">
        <v>0.1</v>
      </c>
    </row>
    <row r="17" spans="1:10" x14ac:dyDescent="0.35">
      <c r="A17">
        <v>16</v>
      </c>
      <c r="B17">
        <v>6006</v>
      </c>
      <c r="C17">
        <v>30</v>
      </c>
      <c r="D17">
        <v>55</v>
      </c>
      <c r="E17">
        <v>13</v>
      </c>
      <c r="F17">
        <v>167500</v>
      </c>
      <c r="G17">
        <v>175500</v>
      </c>
      <c r="H17">
        <v>13800</v>
      </c>
      <c r="I17">
        <v>8300</v>
      </c>
      <c r="J17">
        <v>0.12</v>
      </c>
    </row>
    <row r="18" spans="1:10" x14ac:dyDescent="0.35">
      <c r="A18">
        <v>17</v>
      </c>
      <c r="C18">
        <v>30</v>
      </c>
      <c r="D18">
        <v>62</v>
      </c>
      <c r="E18">
        <v>16</v>
      </c>
      <c r="F18">
        <v>195000</v>
      </c>
      <c r="G18">
        <v>203000</v>
      </c>
      <c r="H18">
        <v>15300</v>
      </c>
      <c r="I18">
        <v>9250</v>
      </c>
      <c r="J18">
        <v>0.14000000000000001</v>
      </c>
    </row>
    <row r="19" spans="1:10" x14ac:dyDescent="0.35">
      <c r="A19">
        <v>18</v>
      </c>
      <c r="B19">
        <v>6007</v>
      </c>
      <c r="C19">
        <v>35</v>
      </c>
      <c r="D19">
        <v>62</v>
      </c>
      <c r="E19">
        <v>14</v>
      </c>
      <c r="F19">
        <v>225000</v>
      </c>
      <c r="G19">
        <v>236500</v>
      </c>
      <c r="H19">
        <v>16800</v>
      </c>
      <c r="I19">
        <v>10200</v>
      </c>
      <c r="J19">
        <v>0.16</v>
      </c>
    </row>
    <row r="20" spans="1:10" x14ac:dyDescent="0.35">
      <c r="A20">
        <v>19</v>
      </c>
      <c r="C20">
        <v>35</v>
      </c>
      <c r="D20">
        <v>72</v>
      </c>
      <c r="E20">
        <v>17</v>
      </c>
      <c r="F20">
        <v>255000</v>
      </c>
      <c r="G20">
        <v>270000</v>
      </c>
      <c r="H20">
        <v>17300</v>
      </c>
      <c r="I20">
        <v>10900</v>
      </c>
      <c r="J20">
        <v>0.17499999999999999</v>
      </c>
    </row>
    <row r="21" spans="1:10" x14ac:dyDescent="0.35">
      <c r="A21">
        <v>20</v>
      </c>
      <c r="B21">
        <v>6008</v>
      </c>
      <c r="C21">
        <v>40</v>
      </c>
      <c r="D21">
        <v>68</v>
      </c>
      <c r="E21">
        <v>15</v>
      </c>
      <c r="F21">
        <v>281000</v>
      </c>
      <c r="G21">
        <v>294500</v>
      </c>
      <c r="H21">
        <v>17800</v>
      </c>
      <c r="I21">
        <v>11600</v>
      </c>
      <c r="J21">
        <v>0.19</v>
      </c>
    </row>
    <row r="22" spans="1:10" x14ac:dyDescent="0.35">
      <c r="A22">
        <v>21</v>
      </c>
      <c r="C22">
        <v>40</v>
      </c>
      <c r="D22">
        <v>80</v>
      </c>
      <c r="E22">
        <v>18</v>
      </c>
      <c r="F22">
        <v>307000</v>
      </c>
      <c r="G22">
        <v>319000</v>
      </c>
      <c r="H22">
        <v>19950</v>
      </c>
      <c r="I22">
        <v>13100</v>
      </c>
      <c r="J22">
        <v>0.22</v>
      </c>
    </row>
    <row r="23" spans="1:10" x14ac:dyDescent="0.35">
      <c r="A23">
        <v>22</v>
      </c>
      <c r="B23">
        <v>6009</v>
      </c>
      <c r="C23">
        <v>45</v>
      </c>
      <c r="D23">
        <v>75</v>
      </c>
      <c r="E23">
        <v>16</v>
      </c>
      <c r="F23">
        <v>319500</v>
      </c>
      <c r="G23">
        <v>338500</v>
      </c>
      <c r="H23">
        <v>22100</v>
      </c>
      <c r="I23">
        <v>14600</v>
      </c>
      <c r="J23">
        <v>0.25</v>
      </c>
    </row>
    <row r="24" spans="1:10" x14ac:dyDescent="0.35">
      <c r="A24">
        <v>23</v>
      </c>
      <c r="C24">
        <v>45</v>
      </c>
      <c r="D24">
        <v>85</v>
      </c>
      <c r="E24">
        <v>19</v>
      </c>
      <c r="F24">
        <v>332000</v>
      </c>
      <c r="G24">
        <v>358000</v>
      </c>
      <c r="H24">
        <v>22500</v>
      </c>
      <c r="I24">
        <v>15300</v>
      </c>
      <c r="J24">
        <v>0.255</v>
      </c>
    </row>
    <row r="25" spans="1:10" x14ac:dyDescent="0.35">
      <c r="A25">
        <v>24</v>
      </c>
      <c r="B25">
        <v>6010</v>
      </c>
      <c r="C25">
        <v>50</v>
      </c>
      <c r="D25">
        <v>80</v>
      </c>
      <c r="E25">
        <v>16</v>
      </c>
      <c r="F25">
        <v>341500</v>
      </c>
      <c r="G25">
        <v>367500</v>
      </c>
      <c r="H25">
        <v>22900</v>
      </c>
      <c r="I25">
        <v>16000</v>
      </c>
      <c r="J25">
        <v>0.26</v>
      </c>
    </row>
    <row r="26" spans="1:10" x14ac:dyDescent="0.35">
      <c r="A26">
        <v>25</v>
      </c>
      <c r="C26">
        <v>50</v>
      </c>
      <c r="D26">
        <v>90</v>
      </c>
      <c r="E26">
        <v>20</v>
      </c>
      <c r="F26">
        <v>351000</v>
      </c>
      <c r="G26">
        <v>377000</v>
      </c>
      <c r="H26">
        <v>26250</v>
      </c>
      <c r="I26">
        <v>18600</v>
      </c>
      <c r="J26">
        <v>0.32500000000000001</v>
      </c>
    </row>
    <row r="27" spans="1:10" x14ac:dyDescent="0.35">
      <c r="A27">
        <v>26</v>
      </c>
      <c r="B27">
        <v>6011</v>
      </c>
      <c r="C27">
        <v>55</v>
      </c>
      <c r="D27">
        <v>90</v>
      </c>
      <c r="E27">
        <v>18</v>
      </c>
      <c r="F27">
        <v>393500</v>
      </c>
      <c r="G27">
        <v>419500</v>
      </c>
      <c r="H27">
        <v>29600</v>
      </c>
      <c r="I27">
        <v>21200</v>
      </c>
      <c r="J27">
        <v>0.39</v>
      </c>
    </row>
    <row r="28" spans="1:10" x14ac:dyDescent="0.35">
      <c r="A28">
        <v>27</v>
      </c>
      <c r="C28">
        <v>55</v>
      </c>
      <c r="D28">
        <v>100</v>
      </c>
      <c r="E28">
        <v>21</v>
      </c>
      <c r="F28">
        <v>436000</v>
      </c>
      <c r="G28">
        <v>462000</v>
      </c>
      <c r="H28">
        <v>30150</v>
      </c>
      <c r="I28">
        <v>22200</v>
      </c>
      <c r="J28">
        <v>0.40500000000000003</v>
      </c>
    </row>
    <row r="29" spans="1:10" x14ac:dyDescent="0.35">
      <c r="A29">
        <v>28</v>
      </c>
      <c r="B29">
        <v>6012</v>
      </c>
      <c r="C29">
        <v>60</v>
      </c>
      <c r="D29">
        <v>95</v>
      </c>
      <c r="E29">
        <v>18</v>
      </c>
      <c r="F29">
        <v>455500</v>
      </c>
      <c r="G29">
        <v>510500</v>
      </c>
      <c r="H29">
        <v>30700</v>
      </c>
      <c r="I29">
        <v>23200</v>
      </c>
      <c r="J29">
        <v>0.42</v>
      </c>
    </row>
    <row r="30" spans="1:10" x14ac:dyDescent="0.35">
      <c r="A30">
        <v>29</v>
      </c>
      <c r="C30">
        <v>60</v>
      </c>
      <c r="D30">
        <v>110</v>
      </c>
      <c r="E30">
        <v>22</v>
      </c>
      <c r="F30">
        <v>475000</v>
      </c>
      <c r="G30">
        <v>559000</v>
      </c>
      <c r="H30">
        <v>31300</v>
      </c>
      <c r="I30">
        <v>24100</v>
      </c>
      <c r="J30">
        <v>0.43</v>
      </c>
    </row>
    <row r="31" spans="1:10" x14ac:dyDescent="0.35">
      <c r="A31">
        <v>30</v>
      </c>
      <c r="B31">
        <v>6013</v>
      </c>
      <c r="C31">
        <v>65</v>
      </c>
      <c r="D31">
        <v>100</v>
      </c>
      <c r="E31">
        <v>18</v>
      </c>
      <c r="F31">
        <v>517000</v>
      </c>
      <c r="G31">
        <v>598000</v>
      </c>
      <c r="H31">
        <v>31900</v>
      </c>
      <c r="I31">
        <v>25000</v>
      </c>
      <c r="J31">
        <v>0.44</v>
      </c>
    </row>
    <row r="32" spans="1:10" x14ac:dyDescent="0.35">
      <c r="A32">
        <v>31</v>
      </c>
      <c r="C32">
        <v>65</v>
      </c>
      <c r="D32">
        <v>120</v>
      </c>
      <c r="E32">
        <v>23</v>
      </c>
      <c r="F32">
        <v>559000</v>
      </c>
      <c r="G32">
        <v>637000</v>
      </c>
      <c r="H32">
        <v>35800</v>
      </c>
      <c r="I32">
        <v>28000</v>
      </c>
      <c r="J32">
        <v>0.52</v>
      </c>
    </row>
    <row r="33" spans="1:10" x14ac:dyDescent="0.35">
      <c r="A33">
        <v>32</v>
      </c>
      <c r="B33">
        <v>6014</v>
      </c>
      <c r="C33">
        <v>70</v>
      </c>
      <c r="D33">
        <v>110</v>
      </c>
      <c r="E33">
        <v>20</v>
      </c>
      <c r="F33">
        <v>588500</v>
      </c>
      <c r="G33">
        <v>663000</v>
      </c>
      <c r="H33">
        <v>39700</v>
      </c>
      <c r="I33">
        <v>31000</v>
      </c>
      <c r="J33">
        <v>0.6</v>
      </c>
    </row>
    <row r="34" spans="1:10" x14ac:dyDescent="0.35">
      <c r="A34">
        <v>33</v>
      </c>
      <c r="C34">
        <v>70</v>
      </c>
      <c r="D34">
        <v>125</v>
      </c>
      <c r="E34">
        <v>24</v>
      </c>
      <c r="F34">
        <v>618000</v>
      </c>
      <c r="G34">
        <v>689000</v>
      </c>
      <c r="H34">
        <v>40650</v>
      </c>
      <c r="I34">
        <v>32250</v>
      </c>
      <c r="J34">
        <v>0.62</v>
      </c>
    </row>
    <row r="35" spans="1:10" x14ac:dyDescent="0.35">
      <c r="A35">
        <v>34</v>
      </c>
      <c r="B35">
        <v>6015</v>
      </c>
      <c r="C35">
        <v>75</v>
      </c>
      <c r="D35">
        <v>115</v>
      </c>
      <c r="E35">
        <v>20</v>
      </c>
      <c r="F35">
        <v>640500</v>
      </c>
      <c r="G35">
        <v>702000</v>
      </c>
      <c r="H35">
        <v>41600</v>
      </c>
      <c r="I35">
        <v>33500</v>
      </c>
      <c r="J35">
        <v>0.64</v>
      </c>
    </row>
    <row r="36" spans="1:10" x14ac:dyDescent="0.35">
      <c r="A36">
        <v>35</v>
      </c>
      <c r="C36">
        <v>75</v>
      </c>
      <c r="D36">
        <v>130</v>
      </c>
      <c r="E36">
        <v>25</v>
      </c>
      <c r="F36">
        <v>663000</v>
      </c>
      <c r="G36">
        <v>715000</v>
      </c>
      <c r="H36">
        <v>45500</v>
      </c>
      <c r="I36">
        <v>36750</v>
      </c>
      <c r="J36">
        <v>0.745</v>
      </c>
    </row>
    <row r="37" spans="1:10" x14ac:dyDescent="0.35">
      <c r="A37">
        <v>36</v>
      </c>
      <c r="B37">
        <v>6016</v>
      </c>
      <c r="C37">
        <v>80</v>
      </c>
      <c r="D37">
        <v>125</v>
      </c>
      <c r="E37">
        <v>22</v>
      </c>
      <c r="F37">
        <v>682500</v>
      </c>
      <c r="G37">
        <v>760500</v>
      </c>
      <c r="H37">
        <v>49400</v>
      </c>
      <c r="I37">
        <v>40000</v>
      </c>
      <c r="J37">
        <v>0.85</v>
      </c>
    </row>
    <row r="38" spans="1:10" x14ac:dyDescent="0.35">
      <c r="A38">
        <v>37</v>
      </c>
      <c r="C38">
        <v>80</v>
      </c>
      <c r="D38">
        <v>140</v>
      </c>
      <c r="E38">
        <v>26</v>
      </c>
      <c r="F38">
        <v>702000</v>
      </c>
      <c r="G38">
        <v>806000</v>
      </c>
      <c r="H38">
        <v>50700</v>
      </c>
      <c r="I38">
        <v>41500</v>
      </c>
      <c r="J38">
        <v>0.87</v>
      </c>
    </row>
    <row r="39" spans="1:10" x14ac:dyDescent="0.35">
      <c r="A39">
        <v>38</v>
      </c>
      <c r="B39">
        <v>6017</v>
      </c>
      <c r="C39">
        <v>85</v>
      </c>
      <c r="D39">
        <v>130</v>
      </c>
      <c r="E39">
        <v>22</v>
      </c>
      <c r="F39">
        <v>767000</v>
      </c>
      <c r="G39">
        <v>855000</v>
      </c>
      <c r="H39">
        <v>52000</v>
      </c>
      <c r="I39">
        <v>43000</v>
      </c>
      <c r="J39">
        <v>0.89</v>
      </c>
    </row>
    <row r="40" spans="1:10" x14ac:dyDescent="0.35">
      <c r="A40">
        <v>39</v>
      </c>
      <c r="C40">
        <v>85</v>
      </c>
      <c r="D40">
        <v>150</v>
      </c>
      <c r="E40">
        <v>28</v>
      </c>
      <c r="F40">
        <v>832000</v>
      </c>
      <c r="G40">
        <v>904000</v>
      </c>
      <c r="H40">
        <v>53000</v>
      </c>
      <c r="I40">
        <v>47000</v>
      </c>
      <c r="J40">
        <v>0.95</v>
      </c>
    </row>
    <row r="41" spans="1:10" x14ac:dyDescent="0.35">
      <c r="A41">
        <v>40</v>
      </c>
      <c r="B41">
        <v>6018</v>
      </c>
      <c r="C41">
        <v>90</v>
      </c>
      <c r="D41">
        <v>160</v>
      </c>
      <c r="E41">
        <v>30</v>
      </c>
      <c r="F41">
        <v>956000</v>
      </c>
      <c r="G41">
        <v>1060000</v>
      </c>
      <c r="H41">
        <v>54000</v>
      </c>
      <c r="I41">
        <v>53000</v>
      </c>
      <c r="J41">
        <v>1.01</v>
      </c>
    </row>
    <row r="42" spans="1:10" x14ac:dyDescent="0.35">
      <c r="A42">
        <v>41</v>
      </c>
      <c r="B42">
        <v>6019</v>
      </c>
      <c r="C42">
        <v>95</v>
      </c>
      <c r="D42">
        <v>170</v>
      </c>
      <c r="E42">
        <v>32</v>
      </c>
      <c r="F42">
        <v>1080000</v>
      </c>
      <c r="G42">
        <v>1210000</v>
      </c>
      <c r="H42">
        <v>55000</v>
      </c>
      <c r="I42">
        <v>59000</v>
      </c>
      <c r="J42">
        <v>1.28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Bearing Life Calculator</vt:lpstr>
      <vt:lpstr>X and Y factor Table</vt:lpstr>
      <vt:lpstr>Catlogue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Aryan Shankar(BTECH10090.24@bitmesra.ac.in)</cp:lastModifiedBy>
  <dcterms:created xsi:type="dcterms:W3CDTF">2026-05-12T20:45:35Z</dcterms:created>
  <dcterms:modified xsi:type="dcterms:W3CDTF">2026-05-29T07:33:07Z</dcterms:modified>
</cp:coreProperties>
</file>