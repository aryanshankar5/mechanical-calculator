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BIT\Desktop\SAIL\mechanical-calculator\backend\excel\"/>
    </mc:Choice>
  </mc:AlternateContent>
  <xr:revisionPtr revIDLastSave="0" documentId="13_ncr:1_{E47A3E84-7E57-4212-A9C1-C76A8C0F6672}" xr6:coauthVersionLast="47" xr6:coauthVersionMax="47" xr10:uidLastSave="{00000000-0000-0000-0000-000000000000}"/>
  <bookViews>
    <workbookView xWindow="-110" yWindow="-110" windowWidth="19420" windowHeight="10300" tabRatio="845" activeTab="3" xr2:uid="{32EF1FDB-14A2-4648-B3FE-9BD34F418C5F}"/>
  </bookViews>
  <sheets>
    <sheet name="INPUT SHEET" sheetId="10" r:id="rId1"/>
    <sheet name="DATA BANK" sheetId="16" r:id="rId2"/>
    <sheet name="IDLER DETAILS" sheetId="15" r:id="rId3"/>
    <sheet name="POWER" sheetId="1" r:id="rId4"/>
    <sheet name="CHUTE SIZING" sheetId="17" r:id="rId5"/>
    <sheet name="Sheet1" sheetId="1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 i="1" l="1"/>
  <c r="B169" i="1" a="1"/>
  <c r="B169" i="1" s="1"/>
  <c r="B168" i="1" a="1"/>
  <c r="B168" i="1" s="1"/>
  <c r="B167" i="1" a="1"/>
  <c r="B167" i="1" s="1"/>
  <c r="H7" i="16" a="1"/>
  <c r="H7" i="16" s="1"/>
  <c r="B56" i="1"/>
  <c r="B59" i="1" s="1"/>
  <c r="B1" i="1"/>
  <c r="B234" i="1"/>
  <c r="D117" i="1"/>
  <c r="B162" i="1"/>
  <c r="C3" i="17"/>
  <c r="C6" i="17"/>
  <c r="C5" i="17"/>
  <c r="C5" i="15"/>
  <c r="K5" i="15"/>
  <c r="B11" i="1"/>
  <c r="D73" i="1"/>
  <c r="B10" i="1"/>
  <c r="B9" i="1"/>
  <c r="B34" i="1"/>
  <c r="B236" i="1"/>
  <c r="H126" i="16"/>
  <c r="K126" i="16"/>
  <c r="H128" i="16"/>
  <c r="K128" i="16"/>
  <c r="H130" i="16"/>
  <c r="K130" i="16"/>
  <c r="H132" i="16"/>
  <c r="K132" i="16"/>
  <c r="H134" i="16"/>
  <c r="K134" i="16"/>
  <c r="H136" i="16"/>
  <c r="K136" i="16"/>
  <c r="H138" i="16"/>
  <c r="K138" i="16"/>
  <c r="H140" i="16"/>
  <c r="K140" i="16"/>
  <c r="H142" i="16"/>
  <c r="K142" i="16"/>
  <c r="H144" i="16"/>
  <c r="K144" i="16"/>
  <c r="H146" i="16"/>
  <c r="K146" i="16"/>
  <c r="H148" i="16"/>
  <c r="K148" i="16"/>
  <c r="H150" i="16"/>
  <c r="K150" i="16"/>
  <c r="C5" i="1"/>
  <c r="B14" i="1"/>
  <c r="D106" i="1"/>
  <c r="B37" i="1"/>
  <c r="B42" i="1"/>
  <c r="B43" i="1"/>
  <c r="B44" i="1"/>
  <c r="B46" i="1"/>
  <c r="B50" i="1"/>
  <c r="B57" i="1"/>
  <c r="B58" i="1"/>
  <c r="D74" i="1"/>
  <c r="B78" i="1"/>
  <c r="D135" i="1"/>
  <c r="B90" i="1"/>
  <c r="B92" i="1"/>
  <c r="D102" i="1"/>
  <c r="D114" i="1"/>
  <c r="D112" i="1"/>
  <c r="B116" i="1"/>
  <c r="B119" i="1"/>
  <c r="B199" i="1"/>
  <c r="B202" i="1"/>
  <c r="B211" i="1"/>
  <c r="B216" i="1"/>
  <c r="B229" i="1"/>
  <c r="B222" i="1"/>
  <c r="B225" i="1"/>
  <c r="B237" i="1"/>
  <c r="B239" i="1"/>
  <c r="B242" i="1"/>
  <c r="B253" i="1"/>
  <c r="B255" i="1"/>
  <c r="B238" i="1"/>
  <c r="D100" i="1"/>
  <c r="H5" i="15"/>
  <c r="G5" i="15"/>
  <c r="B51" i="1"/>
  <c r="B53" i="1"/>
  <c r="B54" i="1"/>
  <c r="L5" i="15"/>
  <c r="E5" i="15"/>
  <c r="D5" i="15"/>
  <c r="B40" i="1"/>
  <c r="B47" i="1"/>
  <c r="B48" i="1"/>
  <c r="D136" i="1"/>
  <c r="B61" i="1"/>
  <c r="D10" i="1" l="1"/>
  <c r="B125" i="1"/>
  <c r="B127" i="1" s="1"/>
  <c r="C4" i="17"/>
  <c r="C7" i="17" s="1"/>
  <c r="C8" i="17" s="1"/>
  <c r="C9" i="17" s="1"/>
  <c r="D69" i="1"/>
  <c r="B68" i="1" s="1"/>
  <c r="B175" i="1"/>
  <c r="B176" i="1" s="1"/>
  <c r="B170" i="1"/>
  <c r="B240" i="1" s="1"/>
  <c r="B104" i="1"/>
  <c r="B62" i="1"/>
  <c r="D9" i="1"/>
  <c r="B108" i="1" l="1"/>
  <c r="B110" i="1" s="1"/>
  <c r="B73" i="1"/>
  <c r="B94" i="1" s="1"/>
  <c r="B250" i="1"/>
  <c r="B177" i="1"/>
  <c r="B178" i="1"/>
  <c r="B251" i="1" s="1"/>
  <c r="D12" i="1"/>
  <c r="D17" i="1" s="1"/>
  <c r="D28" i="1"/>
  <c r="D30" i="1" s="1"/>
  <c r="D35" i="1" s="1"/>
  <c r="B131" i="1" l="1"/>
  <c r="B197" i="1"/>
  <c r="B186" i="1"/>
  <c r="B196" i="1" s="1"/>
  <c r="B156" i="1"/>
  <c r="B135" i="1"/>
  <c r="B137" i="1" s="1"/>
  <c r="B140" i="1" s="1"/>
  <c r="B173" i="1" s="1"/>
  <c r="B151" i="1"/>
  <c r="B223" i="1" l="1"/>
  <c r="B227" i="1" s="1"/>
  <c r="B228" i="1" s="1"/>
  <c r="B230" i="1" s="1"/>
  <c r="B231" i="1" s="1"/>
  <c r="B232" i="1" s="1"/>
  <c r="B244" i="1"/>
  <c r="B212" i="1"/>
  <c r="I6" i="10"/>
  <c r="B144" i="1"/>
  <c r="B243" i="1"/>
  <c r="B203" i="1"/>
  <c r="B204" i="1" s="1"/>
  <c r="B206" i="1" s="1"/>
  <c r="B160" i="1"/>
  <c r="B213" i="1" l="1"/>
  <c r="B214" i="1"/>
  <c r="B215" i="1" s="1"/>
  <c r="B217" i="1" s="1"/>
  <c r="B218" i="1" s="1"/>
  <c r="B219" i="1" s="1"/>
  <c r="B161" i="1"/>
  <c r="B163" i="1"/>
  <c r="B174" i="1"/>
  <c r="B252" i="1" s="1"/>
  <c r="B191" i="1"/>
  <c r="B257" i="1" s="1"/>
  <c r="B187" i="1"/>
  <c r="B256" i="1" s="1"/>
  <c r="B182" i="1"/>
  <c r="B254" i="1" s="1"/>
  <c r="B198" i="1"/>
  <c r="B207" i="1" s="1"/>
  <c r="B208" i="1" s="1"/>
  <c r="I5" i="10"/>
  <c r="B24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<sst xmlns="http://schemas.openxmlformats.org/spreadsheetml/2006/main" count="489" uniqueCount="378">
  <si>
    <t>Designed Qd (tph)=</t>
  </si>
  <si>
    <t>50 deg.C</t>
  </si>
  <si>
    <t xml:space="preserve"> is obtained by adding up all the resistances:</t>
  </si>
  <si>
    <t>R=Main resistance in Newtons (N)</t>
  </si>
  <si>
    <t>f= Artificial co-efficient of friction =</t>
  </si>
  <si>
    <t>L= Conveyor Length (m)=</t>
  </si>
  <si>
    <t>g (m/sec^2)=</t>
  </si>
  <si>
    <t>Diameter of idler (mm)=</t>
  </si>
  <si>
    <t>No. of idler=</t>
  </si>
  <si>
    <t>Carcass thickness (mm)=</t>
  </si>
  <si>
    <t>Top Cover thickness (mm) =</t>
  </si>
  <si>
    <t>Bottom  Cover thickness (mm) =</t>
  </si>
  <si>
    <t>Vo= 0 m/sec</t>
  </si>
  <si>
    <t>b1 (m)=(2/3)*B=</t>
  </si>
  <si>
    <t>Tight side pulley =</t>
  </si>
  <si>
    <t>Slack side pulley=</t>
  </si>
  <si>
    <t>of experience in calculation of belt conveyors, it is</t>
  </si>
  <si>
    <t>tentatively adopted for each non-drive pulley:</t>
  </si>
  <si>
    <t>Total no. of non-drive pulleys =</t>
  </si>
  <si>
    <t>i (deg.)=</t>
  </si>
  <si>
    <t>Rsk (N)=</t>
  </si>
  <si>
    <t>n1=no. of belt cleaner</t>
  </si>
  <si>
    <t>P= pressure in belt cleaner (N/m^2)=</t>
  </si>
  <si>
    <t>Hence, Rsp=R1+Rsk+Rbc+Rp</t>
  </si>
  <si>
    <t>Drive pulley diameter (mm)=</t>
  </si>
  <si>
    <t>Snub Pulley diameter (mm)=</t>
  </si>
  <si>
    <t>Tail Pulley diameter (mm)=</t>
  </si>
  <si>
    <t>Length of Belt (mm)=</t>
  </si>
  <si>
    <t xml:space="preserve">Nominal  kW Rating = </t>
  </si>
  <si>
    <t>rpm of output shaft =</t>
  </si>
  <si>
    <t xml:space="preserve">Reduction Ratio = </t>
  </si>
  <si>
    <t>HP/ 100 rpm =</t>
  </si>
  <si>
    <t>R = resultant tensile load on pulley(kN) =</t>
  </si>
  <si>
    <t>Load on each bearing (kN)=</t>
  </si>
  <si>
    <t>Mb = Bending moment (kN cm) =</t>
  </si>
  <si>
    <t>After considering drive pulley loss:</t>
  </si>
  <si>
    <t xml:space="preserve">Peripheral force Te (effective tension) on the driving pulley of belt conveyor is </t>
  </si>
  <si>
    <t>Power required at the driving pulley of belt conveyor=</t>
  </si>
  <si>
    <t>Belt Tensions</t>
  </si>
  <si>
    <t>Minimum tensile force Tmin. On return sag</t>
  </si>
  <si>
    <t>d (mm) (selected)  =</t>
  </si>
  <si>
    <t>SL.NO.</t>
  </si>
  <si>
    <t xml:space="preserve">CONVEYOR </t>
  </si>
  <si>
    <t>LIFT (M)</t>
  </si>
  <si>
    <t>C/C DISTANCE (M)</t>
  </si>
  <si>
    <t>BELT SPEED (M/SEC)</t>
  </si>
  <si>
    <t>TYPE OF TAKE-UP</t>
  </si>
  <si>
    <t>TOTAL SKIRT LENGTH (M)</t>
  </si>
  <si>
    <t xml:space="preserve">Reduction Ratio selected= </t>
  </si>
  <si>
    <t>DCEM</t>
  </si>
  <si>
    <t xml:space="preserve">Thus, Motor power (kW) selected = </t>
  </si>
  <si>
    <t>K1=</t>
  </si>
  <si>
    <t>K2=</t>
  </si>
  <si>
    <t>K3=</t>
  </si>
  <si>
    <t>K4=</t>
  </si>
  <si>
    <t>SELECTED IDLER=</t>
  </si>
  <si>
    <t>SHAFT DIA. AT BEARING (MM)=</t>
  </si>
  <si>
    <t>Type=</t>
  </si>
  <si>
    <t>Gear</t>
  </si>
  <si>
    <t>Actual output rpm=</t>
  </si>
  <si>
    <t xml:space="preserve">Braking Torque (kgm)= </t>
  </si>
  <si>
    <t>SAC</t>
  </si>
  <si>
    <t>SAR</t>
  </si>
  <si>
    <t>Drive</t>
  </si>
  <si>
    <t>Tail</t>
  </si>
  <si>
    <t>Snub</t>
  </si>
  <si>
    <t xml:space="preserve">INPUT DATA FOR BELT CONVEYORS </t>
  </si>
  <si>
    <t xml:space="preserve">Carrying </t>
  </si>
  <si>
    <t>Impact</t>
  </si>
  <si>
    <t>Return</t>
  </si>
  <si>
    <t>CONVEYOR Description</t>
  </si>
  <si>
    <t>Sl.No.</t>
  </si>
  <si>
    <t>No. of idler set=</t>
  </si>
  <si>
    <t>No. of impact idler set=</t>
  </si>
  <si>
    <t>Wt. Of each impact idler set=</t>
  </si>
  <si>
    <t>1. TABLE FOR WEIGHT OF 3-ROLL IDLER SETS WITHOUT FRAMES (AS PER IPSS)</t>
  </si>
  <si>
    <t>Dia. Of idler</t>
  </si>
  <si>
    <t>Wt. In N per roll for 3-roll set</t>
  </si>
  <si>
    <t>Flat idler weight in N</t>
  </si>
  <si>
    <t>Belt width in mm</t>
  </si>
  <si>
    <t>Wt. Of each idler=</t>
  </si>
  <si>
    <t>Wt. Of each impact idler=</t>
  </si>
  <si>
    <t>Weight of rotating parts (W)= in N</t>
  </si>
  <si>
    <t>2. BELT DETAILS</t>
  </si>
  <si>
    <t xml:space="preserve">Belt type </t>
  </si>
  <si>
    <t>(HEAVY DUTY)</t>
  </si>
  <si>
    <t>Nominal carcass thickness (mm)</t>
  </si>
  <si>
    <t>MRBT (kN/m)</t>
  </si>
  <si>
    <t>315/3</t>
  </si>
  <si>
    <t>630/3</t>
  </si>
  <si>
    <t>630/4</t>
  </si>
  <si>
    <t>800/4</t>
  </si>
  <si>
    <t>From</t>
  </si>
  <si>
    <t>To</t>
  </si>
  <si>
    <t>Carcass thickness (mm)</t>
  </si>
  <si>
    <t>RMBTC &gt;60% UPTO 100%)</t>
  </si>
  <si>
    <t>Tail/Take-up/Bend</t>
  </si>
  <si>
    <t>Sunb</t>
  </si>
  <si>
    <t xml:space="preserve">      RMBTC &gt;30% UPTO 60%)</t>
  </si>
  <si>
    <t xml:space="preserve">        RMBTC UPTO 30%)</t>
  </si>
  <si>
    <t>-</t>
  </si>
  <si>
    <t>Minimum Pulley diameter for satisfactoiry flexing (mm)</t>
  </si>
  <si>
    <t>Terminal tripper and high tension snub pulleys</t>
  </si>
  <si>
    <t>Low tension bend and snub pulleys</t>
  </si>
  <si>
    <t>3. PULLEY SELECTION TABLE</t>
  </si>
  <si>
    <t>4. WEIGHT OF PULLEYS</t>
  </si>
  <si>
    <t>(IN N)</t>
  </si>
  <si>
    <t>Pulley diameter (mm)</t>
  </si>
  <si>
    <t>5. GEAR BOX REDUCTION RATIOS</t>
  </si>
  <si>
    <t>C/C (m)</t>
  </si>
  <si>
    <t>CARRYING IDLER SELECTION (AS PER IPSS)</t>
  </si>
  <si>
    <t>Class-III</t>
  </si>
  <si>
    <t>Class of Idlers=</t>
  </si>
  <si>
    <t>Duty of idlers=</t>
  </si>
  <si>
    <t>Medium duty</t>
  </si>
  <si>
    <t>Surcharge  angle =</t>
  </si>
  <si>
    <t>b/w</t>
  </si>
  <si>
    <t>slope factor</t>
  </si>
  <si>
    <t>spillage factor</t>
  </si>
  <si>
    <t>bd</t>
  </si>
  <si>
    <t>speed</t>
  </si>
  <si>
    <t>x-area</t>
  </si>
  <si>
    <t>NA</t>
  </si>
  <si>
    <t>6.CONVEYOR CAPACITY CALCULATIONS</t>
  </si>
  <si>
    <t>Achievable rated capacity (tph) =</t>
  </si>
  <si>
    <t>Maximum permissible TPH</t>
  </si>
  <si>
    <t>TPH as per IS</t>
  </si>
  <si>
    <t xml:space="preserve"> Conveyor Capacity</t>
  </si>
  <si>
    <t xml:space="preserve"> Material:</t>
  </si>
  <si>
    <t xml:space="preserve"> Lift (H) (m) :</t>
  </si>
  <si>
    <t xml:space="preserve"> Belt speed (v) (m/sec) :</t>
  </si>
  <si>
    <t xml:space="preserve"> Ambient temp. :(t)</t>
  </si>
  <si>
    <t xml:space="preserve"> Length of skirt : Lsk (m)=</t>
  </si>
  <si>
    <t xml:space="preserve"> Type of belt : </t>
  </si>
  <si>
    <t xml:space="preserve">POWER CALCULATION FOR BELT CONVEYOR </t>
  </si>
  <si>
    <t>SUMMARY SHEET FOR BELT CONVEYOR</t>
  </si>
  <si>
    <t>RETURNG IDLER SELECTION (AS PER IPSS)</t>
  </si>
  <si>
    <t>7. Material data sheet</t>
  </si>
  <si>
    <t>Sl. No.</t>
  </si>
  <si>
    <t>Material</t>
  </si>
  <si>
    <t>Average weight (t/m3)</t>
  </si>
  <si>
    <t>Coal</t>
  </si>
  <si>
    <t>Coke</t>
  </si>
  <si>
    <t>Iron Ores</t>
  </si>
  <si>
    <t>Sinter</t>
  </si>
  <si>
    <t>Quartzite</t>
  </si>
  <si>
    <t>Lime Stone</t>
  </si>
  <si>
    <t>Lime</t>
  </si>
  <si>
    <t>Manganese</t>
  </si>
  <si>
    <t>Dolomite</t>
  </si>
  <si>
    <t>Burnt Dolomite</t>
  </si>
  <si>
    <t>Slag</t>
  </si>
  <si>
    <t>Fullers Earth</t>
  </si>
  <si>
    <t>Flue dust</t>
  </si>
  <si>
    <t xml:space="preserve">Char </t>
  </si>
  <si>
    <t>Cement</t>
  </si>
  <si>
    <t>N/N</t>
  </si>
  <si>
    <t>Grade</t>
  </si>
  <si>
    <t>Top cover thickness (mm)</t>
  </si>
  <si>
    <t>Bottom cover thickness (mm)</t>
  </si>
  <si>
    <t>Type</t>
  </si>
  <si>
    <t>HD</t>
  </si>
  <si>
    <t>8. STANDARD MOTOR KW VALUES</t>
  </si>
  <si>
    <t>2-Stage</t>
  </si>
  <si>
    <t>Single stage</t>
  </si>
  <si>
    <t>3-Stage</t>
  </si>
  <si>
    <t>Ratio</t>
  </si>
  <si>
    <t>No. of Stages</t>
  </si>
  <si>
    <t>DESIGN CALCULATION</t>
  </si>
  <si>
    <t>Wt. Of each idler set (3 idler set)=</t>
  </si>
  <si>
    <t>Diameter of impact idler=</t>
  </si>
  <si>
    <t>mG= (kg/m) =</t>
  </si>
  <si>
    <t>Thus, R= Main Resistance (N)=</t>
  </si>
  <si>
    <t xml:space="preserve">V=Mat.speed in dir.of belt </t>
  </si>
  <si>
    <t>Q=(m^3/sec)=</t>
  </si>
  <si>
    <r>
      <t>m</t>
    </r>
    <r>
      <rPr>
        <sz val="12"/>
        <rFont val="Comic Sans MS"/>
        <family val="4"/>
      </rPr>
      <t>1=</t>
    </r>
  </si>
  <si>
    <r>
      <t>m</t>
    </r>
    <r>
      <rPr>
        <sz val="12"/>
        <rFont val="Comic Sans MS"/>
        <family val="4"/>
      </rPr>
      <t>2=</t>
    </r>
  </si>
  <si>
    <t>Normally, it is calculated from a table as below:-</t>
  </si>
  <si>
    <t>(Wrap resistance in N)</t>
  </si>
  <si>
    <t>(Location of pulley)</t>
  </si>
  <si>
    <t xml:space="preserve"> All other Pulleys</t>
  </si>
  <si>
    <t xml:space="preserve">Tight side pulley  </t>
  </si>
  <si>
    <t xml:space="preserve">Slack side pulley </t>
  </si>
  <si>
    <r>
      <t>Bulk density=</t>
    </r>
    <r>
      <rPr>
        <b/>
        <sz val="12"/>
        <rFont val="Symbol"/>
        <family val="1"/>
        <charset val="2"/>
      </rPr>
      <t>r</t>
    </r>
    <r>
      <rPr>
        <sz val="12"/>
        <rFont val="Comic Sans MS"/>
        <family val="4"/>
      </rPr>
      <t xml:space="preserve"> (t/m^3)=</t>
    </r>
  </si>
  <si>
    <t xml:space="preserve"> Belt width (mm) (B) :</t>
  </si>
  <si>
    <t xml:space="preserve"> Pulley c/c ( L) (m):</t>
  </si>
  <si>
    <r>
      <t xml:space="preserve">cos </t>
    </r>
    <r>
      <rPr>
        <b/>
        <sz val="12"/>
        <rFont val="Symbol"/>
        <family val="1"/>
        <charset val="2"/>
      </rPr>
      <t>d</t>
    </r>
    <r>
      <rPr>
        <sz val="12"/>
        <rFont val="Comic Sans MS"/>
        <family val="4"/>
      </rPr>
      <t>=</t>
    </r>
  </si>
  <si>
    <r>
      <t>La= ((V^2-V0^2)/(2*g*</t>
    </r>
    <r>
      <rPr>
        <b/>
        <sz val="12"/>
        <rFont val="Symbol"/>
        <family val="1"/>
        <charset val="2"/>
      </rPr>
      <t>m</t>
    </r>
    <r>
      <rPr>
        <sz val="12"/>
        <rFont val="Comic Sans MS"/>
        <family val="4"/>
      </rPr>
      <t>1)=</t>
    </r>
  </si>
  <si>
    <t>1. R= Main Resistances</t>
  </si>
  <si>
    <t>Since, tension values Rv are unknown, on the basis</t>
  </si>
  <si>
    <r>
      <t>Thus, Secondary Resistance R</t>
    </r>
    <r>
      <rPr>
        <b/>
        <vertAlign val="subscript"/>
        <sz val="14"/>
        <color indexed="12"/>
        <rFont val="Comic Sans MS"/>
        <family val="4"/>
      </rPr>
      <t>s</t>
    </r>
    <r>
      <rPr>
        <b/>
        <sz val="14"/>
        <color indexed="12"/>
        <rFont val="Comic Sans MS"/>
        <family val="4"/>
      </rPr>
      <t xml:space="preserve"> (N):</t>
    </r>
  </si>
  <si>
    <r>
      <t>R</t>
    </r>
    <r>
      <rPr>
        <b/>
        <vertAlign val="subscript"/>
        <sz val="12"/>
        <color indexed="12"/>
        <rFont val="Comic Sans MS"/>
        <family val="4"/>
      </rPr>
      <t>b</t>
    </r>
    <r>
      <rPr>
        <b/>
        <sz val="12"/>
        <color indexed="12"/>
        <rFont val="Comic Sans MS"/>
        <family val="4"/>
      </rPr>
      <t>=Pulley bearing resistance ( not to be calculated for drive pulleys)</t>
    </r>
  </si>
  <si>
    <r>
      <t>R</t>
    </r>
    <r>
      <rPr>
        <b/>
        <vertAlign val="subscript"/>
        <sz val="12"/>
        <color indexed="12"/>
        <rFont val="Comic Sans MS"/>
        <family val="4"/>
      </rPr>
      <t>ska</t>
    </r>
    <r>
      <rPr>
        <b/>
        <sz val="12"/>
        <color indexed="12"/>
        <rFont val="Comic Sans MS"/>
        <family val="4"/>
      </rPr>
      <t>= Frictional resistance between handled material and skirt plates in the accleration area</t>
    </r>
  </si>
  <si>
    <r>
      <t>R</t>
    </r>
    <r>
      <rPr>
        <b/>
        <vertAlign val="subscript"/>
        <sz val="12"/>
        <color indexed="12"/>
        <rFont val="Comic Sans MS"/>
        <family val="4"/>
      </rPr>
      <t>a</t>
    </r>
    <r>
      <rPr>
        <b/>
        <sz val="12"/>
        <color indexed="12"/>
        <rFont val="Comic Sans MS"/>
        <family val="4"/>
      </rPr>
      <t>= Inertial and frictional resistance at the loading point and in accelaration area between the handled material in N</t>
    </r>
  </si>
  <si>
    <r>
      <t>2. R</t>
    </r>
    <r>
      <rPr>
        <b/>
        <vertAlign val="subscript"/>
        <sz val="14"/>
        <color indexed="10"/>
        <rFont val="Comic Sans MS"/>
        <family val="4"/>
      </rPr>
      <t>s</t>
    </r>
    <r>
      <rPr>
        <b/>
        <sz val="14"/>
        <color indexed="10"/>
        <rFont val="Comic Sans MS"/>
        <family val="4"/>
      </rPr>
      <t>= Secondary Resistances</t>
    </r>
  </si>
  <si>
    <r>
      <t>Hence, m</t>
    </r>
    <r>
      <rPr>
        <vertAlign val="subscript"/>
        <sz val="14"/>
        <color indexed="10"/>
        <rFont val="Comic Sans MS"/>
        <family val="4"/>
      </rPr>
      <t>c</t>
    </r>
    <r>
      <rPr>
        <sz val="14"/>
        <color indexed="10"/>
        <rFont val="Comic Sans MS"/>
        <family val="4"/>
      </rPr>
      <t>=(kg/m) =</t>
    </r>
  </si>
  <si>
    <r>
      <t>Hence, m</t>
    </r>
    <r>
      <rPr>
        <vertAlign val="subscript"/>
        <sz val="14"/>
        <color indexed="10"/>
        <rFont val="Comic Sans MS"/>
        <family val="4"/>
      </rPr>
      <t>r</t>
    </r>
    <r>
      <rPr>
        <sz val="14"/>
        <color indexed="10"/>
        <rFont val="Comic Sans MS"/>
        <family val="4"/>
      </rPr>
      <t>=(kg/m) =</t>
    </r>
  </si>
  <si>
    <r>
      <t>m</t>
    </r>
    <r>
      <rPr>
        <b/>
        <vertAlign val="subscript"/>
        <sz val="12"/>
        <color indexed="12"/>
        <rFont val="Comic Sans MS"/>
        <family val="4"/>
      </rPr>
      <t>r</t>
    </r>
    <r>
      <rPr>
        <b/>
        <sz val="12"/>
        <color indexed="12"/>
        <rFont val="Comic Sans MS"/>
        <family val="4"/>
      </rPr>
      <t>= Mass of revolving idler part along the return side of the idler per set (kg/m)=</t>
    </r>
  </si>
  <si>
    <r>
      <t>m</t>
    </r>
    <r>
      <rPr>
        <b/>
        <vertAlign val="subscript"/>
        <sz val="12"/>
        <color indexed="12"/>
        <rFont val="Comic Sans MS"/>
        <family val="4"/>
      </rPr>
      <t>B</t>
    </r>
    <r>
      <rPr>
        <b/>
        <sz val="12"/>
        <color indexed="12"/>
        <rFont val="Comic Sans MS"/>
        <family val="4"/>
      </rPr>
      <t>= Mass of belt per m = (kg/m)=</t>
    </r>
  </si>
  <si>
    <r>
      <t>m</t>
    </r>
    <r>
      <rPr>
        <b/>
        <vertAlign val="subscript"/>
        <sz val="12"/>
        <color indexed="12"/>
        <rFont val="Comic Sans MS"/>
        <family val="4"/>
      </rPr>
      <t>c</t>
    </r>
    <r>
      <rPr>
        <b/>
        <sz val="12"/>
        <color indexed="12"/>
        <rFont val="Comic Sans MS"/>
        <family val="4"/>
      </rPr>
      <t>= mass of revolving idler part along the carrying side of idler per set (kg/m)=</t>
    </r>
  </si>
  <si>
    <r>
      <t>Thus, m</t>
    </r>
    <r>
      <rPr>
        <vertAlign val="subscript"/>
        <sz val="14"/>
        <color indexed="10"/>
        <rFont val="Comic Sans MS"/>
        <family val="4"/>
      </rPr>
      <t>B</t>
    </r>
    <r>
      <rPr>
        <sz val="14"/>
        <color indexed="10"/>
        <rFont val="Comic Sans MS"/>
        <family val="4"/>
      </rPr>
      <t xml:space="preserve"> (kg/m)= </t>
    </r>
  </si>
  <si>
    <r>
      <t>m</t>
    </r>
    <r>
      <rPr>
        <b/>
        <vertAlign val="subscript"/>
        <sz val="12"/>
        <color indexed="12"/>
        <rFont val="Comic Sans MS"/>
        <family val="4"/>
      </rPr>
      <t>G</t>
    </r>
    <r>
      <rPr>
        <b/>
        <sz val="12"/>
        <color indexed="12"/>
        <rFont val="Comic Sans MS"/>
        <family val="4"/>
      </rPr>
      <t>= Mass of handled material on conveyor per m = (kg/m)=</t>
    </r>
  </si>
  <si>
    <r>
      <t>R</t>
    </r>
    <r>
      <rPr>
        <b/>
        <vertAlign val="subscript"/>
        <sz val="12"/>
        <color indexed="12"/>
        <rFont val="Comic Sans MS"/>
        <family val="4"/>
      </rPr>
      <t>w</t>
    </r>
    <r>
      <rPr>
        <b/>
        <sz val="12"/>
        <color indexed="12"/>
        <rFont val="Comic Sans MS"/>
        <family val="4"/>
      </rPr>
      <t>=wrap resistance between belt and pulley (not to be calculated for drive pulleys)</t>
    </r>
  </si>
  <si>
    <r>
      <t>R</t>
    </r>
    <r>
      <rPr>
        <b/>
        <vertAlign val="subscript"/>
        <sz val="12"/>
        <color indexed="12"/>
        <rFont val="Comic Sans MS"/>
        <family val="4"/>
      </rPr>
      <t>i</t>
    </r>
    <r>
      <rPr>
        <b/>
        <sz val="12"/>
        <color indexed="12"/>
        <rFont val="Comic Sans MS"/>
        <family val="4"/>
      </rPr>
      <t xml:space="preserve">=Resistance due to idler tilting= </t>
    </r>
  </si>
  <si>
    <t>(in case carrying idler equipped with these equal length rollers)</t>
  </si>
  <si>
    <r>
      <t>m</t>
    </r>
    <r>
      <rPr>
        <b/>
        <vertAlign val="subscript"/>
        <sz val="12"/>
        <rFont val="Comic Sans MS"/>
        <family val="4"/>
      </rPr>
      <t>0</t>
    </r>
    <r>
      <rPr>
        <sz val="12"/>
        <rFont val="Comic Sans MS"/>
        <family val="4"/>
      </rPr>
      <t>=</t>
    </r>
  </si>
  <si>
    <r>
      <t>R</t>
    </r>
    <r>
      <rPr>
        <vertAlign val="subscript"/>
        <sz val="12"/>
        <rFont val="Comic Sans MS"/>
        <family val="4"/>
      </rPr>
      <t xml:space="preserve">i </t>
    </r>
    <r>
      <rPr>
        <sz val="12"/>
        <rFont val="Comic Sans MS"/>
        <family val="4"/>
      </rPr>
      <t>(N)=</t>
    </r>
  </si>
  <si>
    <t>sin i=</t>
  </si>
  <si>
    <r>
      <t>C</t>
    </r>
    <r>
      <rPr>
        <vertAlign val="subscript"/>
        <sz val="12"/>
        <rFont val="Comic Sans MS"/>
        <family val="4"/>
      </rPr>
      <t>i</t>
    </r>
    <r>
      <rPr>
        <sz val="12"/>
        <rFont val="Comic Sans MS"/>
        <family val="4"/>
      </rPr>
      <t xml:space="preserve"> (&gt; 30 deg. Troughing angle) =</t>
    </r>
  </si>
  <si>
    <r>
      <t>L</t>
    </r>
    <r>
      <rPr>
        <vertAlign val="subscript"/>
        <sz val="12"/>
        <rFont val="Comic Sans MS"/>
        <family val="4"/>
      </rPr>
      <t>i</t>
    </r>
    <r>
      <rPr>
        <sz val="12"/>
        <rFont val="Comic Sans MS"/>
        <family val="4"/>
      </rPr>
      <t>=length of installation equipped with tilted idler =</t>
    </r>
  </si>
  <si>
    <r>
      <t>R</t>
    </r>
    <r>
      <rPr>
        <b/>
        <vertAlign val="subscript"/>
        <sz val="12"/>
        <color indexed="12"/>
        <rFont val="Comic Sans MS"/>
        <family val="4"/>
      </rPr>
      <t>sk</t>
    </r>
    <r>
      <rPr>
        <b/>
        <sz val="12"/>
        <color indexed="12"/>
        <rFont val="Comic Sans MS"/>
        <family val="4"/>
      </rPr>
      <t>=Resistance between handled material and skirt plate=</t>
    </r>
  </si>
  <si>
    <r>
      <t>R</t>
    </r>
    <r>
      <rPr>
        <b/>
        <vertAlign val="subscript"/>
        <sz val="12"/>
        <color indexed="12"/>
        <rFont val="Comic Sans MS"/>
        <family val="4"/>
      </rPr>
      <t>p</t>
    </r>
    <r>
      <rPr>
        <b/>
        <sz val="12"/>
        <color indexed="12"/>
        <rFont val="Comic Sans MS"/>
        <family val="4"/>
      </rPr>
      <t>=Resistance due to frictional at the discharge plough =</t>
    </r>
  </si>
  <si>
    <r>
      <t>l</t>
    </r>
    <r>
      <rPr>
        <vertAlign val="subscript"/>
        <sz val="12"/>
        <rFont val="Comic Sans MS"/>
        <family val="4"/>
      </rPr>
      <t>sk</t>
    </r>
    <r>
      <rPr>
        <sz val="12"/>
        <rFont val="Comic Sans MS"/>
        <family val="4"/>
      </rPr>
      <t xml:space="preserve"> = skirt length (m)=</t>
    </r>
  </si>
  <si>
    <t>3. Rsp1 = Special Main Resistance</t>
  </si>
  <si>
    <t>4.  Rsp2 = Special Secondary Resistance</t>
  </si>
  <si>
    <r>
      <t>R</t>
    </r>
    <r>
      <rPr>
        <b/>
        <vertAlign val="subscript"/>
        <sz val="12"/>
        <color indexed="12"/>
        <rFont val="Comic Sans MS"/>
        <family val="4"/>
      </rPr>
      <t>sp2</t>
    </r>
    <r>
      <rPr>
        <b/>
        <sz val="12"/>
        <color indexed="12"/>
        <rFont val="Comic Sans MS"/>
        <family val="4"/>
      </rPr>
      <t xml:space="preserve"> = R</t>
    </r>
    <r>
      <rPr>
        <b/>
        <vertAlign val="subscript"/>
        <sz val="12"/>
        <color indexed="12"/>
        <rFont val="Comic Sans MS"/>
        <family val="4"/>
      </rPr>
      <t>bc</t>
    </r>
    <r>
      <rPr>
        <b/>
        <sz val="12"/>
        <color indexed="12"/>
        <rFont val="Comic Sans MS"/>
        <family val="4"/>
      </rPr>
      <t>+R</t>
    </r>
    <r>
      <rPr>
        <b/>
        <vertAlign val="subscript"/>
        <sz val="12"/>
        <color indexed="12"/>
        <rFont val="Comic Sans MS"/>
        <family val="4"/>
      </rPr>
      <t>p</t>
    </r>
  </si>
  <si>
    <r>
      <t>R</t>
    </r>
    <r>
      <rPr>
        <b/>
        <vertAlign val="subscript"/>
        <sz val="12"/>
        <color indexed="12"/>
        <rFont val="Comic Sans MS"/>
        <family val="4"/>
      </rPr>
      <t>bc</t>
    </r>
    <r>
      <rPr>
        <b/>
        <sz val="12"/>
        <color indexed="12"/>
        <rFont val="Comic Sans MS"/>
        <family val="4"/>
      </rPr>
      <t>= Resistance due to belt scraper= A</t>
    </r>
    <r>
      <rPr>
        <b/>
        <vertAlign val="subscript"/>
        <sz val="12"/>
        <color indexed="12"/>
        <rFont val="Comic Sans MS"/>
        <family val="4"/>
      </rPr>
      <t>1</t>
    </r>
    <r>
      <rPr>
        <b/>
        <sz val="12"/>
        <color indexed="12"/>
        <rFont val="Comic Sans MS"/>
        <family val="4"/>
      </rPr>
      <t>*P*</t>
    </r>
    <r>
      <rPr>
        <b/>
        <sz val="12"/>
        <color indexed="12"/>
        <rFont val="Symbol"/>
        <family val="1"/>
        <charset val="2"/>
      </rPr>
      <t>m</t>
    </r>
    <r>
      <rPr>
        <b/>
        <sz val="12"/>
        <color indexed="12"/>
        <rFont val="Comic Sans MS"/>
        <family val="4"/>
      </rPr>
      <t>3</t>
    </r>
  </si>
  <si>
    <r>
      <t>L</t>
    </r>
    <r>
      <rPr>
        <vertAlign val="subscript"/>
        <sz val="12"/>
        <rFont val="Comic Sans MS"/>
        <family val="4"/>
      </rPr>
      <t>b</t>
    </r>
    <r>
      <rPr>
        <sz val="12"/>
        <rFont val="Comic Sans MS"/>
        <family val="4"/>
      </rPr>
      <t>=length of belt cleaner (m)=</t>
    </r>
  </si>
  <si>
    <r>
      <t>m</t>
    </r>
    <r>
      <rPr>
        <b/>
        <vertAlign val="subscript"/>
        <sz val="12"/>
        <rFont val="Comic Sans MS"/>
        <family val="4"/>
      </rPr>
      <t>3</t>
    </r>
    <r>
      <rPr>
        <sz val="12"/>
        <rFont val="Comic Sans MS"/>
        <family val="4"/>
      </rPr>
      <t>=</t>
    </r>
  </si>
  <si>
    <r>
      <t>A=0.02*L</t>
    </r>
    <r>
      <rPr>
        <vertAlign val="subscript"/>
        <sz val="12"/>
        <rFont val="Comic Sans MS"/>
        <family val="4"/>
      </rPr>
      <t>b</t>
    </r>
    <r>
      <rPr>
        <sz val="12"/>
        <rFont val="Comic Sans MS"/>
        <family val="4"/>
      </rPr>
      <t>*n1</t>
    </r>
  </si>
  <si>
    <t>Thickness of belt cleaner in m</t>
  </si>
  <si>
    <r>
      <t>Thus, Special Main Resistance = R</t>
    </r>
    <r>
      <rPr>
        <b/>
        <vertAlign val="subscript"/>
        <sz val="14"/>
        <color indexed="10"/>
        <rFont val="Comic Sans MS"/>
        <family val="4"/>
      </rPr>
      <t>sp1</t>
    </r>
    <r>
      <rPr>
        <b/>
        <sz val="14"/>
        <color indexed="10"/>
        <rFont val="Comic Sans MS"/>
        <family val="4"/>
      </rPr>
      <t xml:space="preserve"> (N)=</t>
    </r>
  </si>
  <si>
    <t>Rp (N) =</t>
  </si>
  <si>
    <r>
      <t>Thus, Special Secondary Resistance = R</t>
    </r>
    <r>
      <rPr>
        <b/>
        <vertAlign val="subscript"/>
        <sz val="14"/>
        <color indexed="10"/>
        <rFont val="Comic Sans MS"/>
        <family val="4"/>
      </rPr>
      <t>sp2</t>
    </r>
    <r>
      <rPr>
        <b/>
        <sz val="14"/>
        <color indexed="10"/>
        <rFont val="Comic Sans MS"/>
        <family val="4"/>
      </rPr>
      <t xml:space="preserve"> (N)=</t>
    </r>
  </si>
  <si>
    <r>
      <t>Thus, Slope Resistance = R</t>
    </r>
    <r>
      <rPr>
        <b/>
        <vertAlign val="subscript"/>
        <sz val="14"/>
        <color indexed="10"/>
        <rFont val="Comic Sans MS"/>
        <family val="4"/>
      </rPr>
      <t>sl</t>
    </r>
    <r>
      <rPr>
        <b/>
        <sz val="14"/>
        <color indexed="10"/>
        <rFont val="Comic Sans MS"/>
        <family val="4"/>
      </rPr>
      <t xml:space="preserve"> (N)=</t>
    </r>
  </si>
  <si>
    <r>
      <t>Thus, R</t>
    </r>
    <r>
      <rPr>
        <b/>
        <vertAlign val="subscript"/>
        <sz val="12"/>
        <rFont val="Comic Sans MS"/>
        <family val="4"/>
      </rPr>
      <t>sl</t>
    </r>
    <r>
      <rPr>
        <sz val="12"/>
        <rFont val="Comic Sans MS"/>
        <family val="4"/>
      </rPr>
      <t xml:space="preserve"> (N) =</t>
    </r>
  </si>
  <si>
    <r>
      <t>5. R</t>
    </r>
    <r>
      <rPr>
        <b/>
        <vertAlign val="subscript"/>
        <sz val="14"/>
        <color indexed="12"/>
        <rFont val="Comic Sans MS"/>
        <family val="4"/>
      </rPr>
      <t>sl</t>
    </r>
    <r>
      <rPr>
        <b/>
        <sz val="14"/>
        <color indexed="12"/>
        <rFont val="Comic Sans MS"/>
        <family val="4"/>
      </rPr>
      <t>= Slope Resistance = m</t>
    </r>
    <r>
      <rPr>
        <b/>
        <vertAlign val="subscript"/>
        <sz val="14"/>
        <color indexed="12"/>
        <rFont val="Comic Sans MS"/>
        <family val="4"/>
      </rPr>
      <t>G</t>
    </r>
    <r>
      <rPr>
        <b/>
        <sz val="14"/>
        <color indexed="12"/>
        <rFont val="Comic Sans MS"/>
        <family val="4"/>
      </rPr>
      <t>*H*g</t>
    </r>
  </si>
  <si>
    <t>Calculation  of Te</t>
  </si>
  <si>
    <r>
      <t>T</t>
    </r>
    <r>
      <rPr>
        <b/>
        <vertAlign val="subscript"/>
        <sz val="14"/>
        <rFont val="Comic Sans MS"/>
        <family val="4"/>
      </rPr>
      <t>e</t>
    </r>
    <r>
      <rPr>
        <b/>
        <sz val="14"/>
        <rFont val="Comic Sans MS"/>
        <family val="4"/>
      </rPr>
      <t xml:space="preserve"> (N) =</t>
    </r>
  </si>
  <si>
    <r>
      <t>P</t>
    </r>
    <r>
      <rPr>
        <b/>
        <vertAlign val="subscript"/>
        <sz val="12"/>
        <rFont val="Comic Sans MS"/>
        <family val="4"/>
      </rPr>
      <t>DP</t>
    </r>
    <r>
      <rPr>
        <sz val="12"/>
        <rFont val="Comic Sans MS"/>
        <family val="4"/>
      </rPr>
      <t xml:space="preserve"> (kW )= (Te*V)/1000 =</t>
    </r>
  </si>
  <si>
    <r>
      <t>P</t>
    </r>
    <r>
      <rPr>
        <b/>
        <vertAlign val="subscript"/>
        <sz val="12"/>
        <rFont val="Comic Sans MS"/>
        <family val="4"/>
      </rPr>
      <t>A</t>
    </r>
    <r>
      <rPr>
        <sz val="12"/>
        <rFont val="Comic Sans MS"/>
        <family val="4"/>
      </rPr>
      <t>=((Te*V)/1000)+((R</t>
    </r>
    <r>
      <rPr>
        <vertAlign val="subscript"/>
        <sz val="12"/>
        <rFont val="Comic Sans MS"/>
        <family val="4"/>
      </rPr>
      <t>wd</t>
    </r>
    <r>
      <rPr>
        <sz val="12"/>
        <rFont val="Comic Sans MS"/>
        <family val="4"/>
      </rPr>
      <t>+R</t>
    </r>
    <r>
      <rPr>
        <vertAlign val="subscript"/>
        <sz val="12"/>
        <rFont val="Comic Sans MS"/>
        <family val="4"/>
      </rPr>
      <t>bd</t>
    </r>
    <r>
      <rPr>
        <sz val="12"/>
        <rFont val="Comic Sans MS"/>
        <family val="4"/>
      </rPr>
      <t>)*V/1000)=</t>
    </r>
  </si>
  <si>
    <r>
      <t>R</t>
    </r>
    <r>
      <rPr>
        <b/>
        <vertAlign val="subscript"/>
        <sz val="12"/>
        <rFont val="Comic Sans MS"/>
        <family val="4"/>
      </rPr>
      <t xml:space="preserve">wd </t>
    </r>
    <r>
      <rPr>
        <sz val="12"/>
        <rFont val="Comic Sans MS"/>
        <family val="4"/>
      </rPr>
      <t xml:space="preserve">(N) = </t>
    </r>
  </si>
  <si>
    <r>
      <t>R</t>
    </r>
    <r>
      <rPr>
        <b/>
        <vertAlign val="subscript"/>
        <sz val="12"/>
        <rFont val="Comic Sans MS"/>
        <family val="4"/>
      </rPr>
      <t>bd</t>
    </r>
    <r>
      <rPr>
        <sz val="12"/>
        <rFont val="Comic Sans MS"/>
        <family val="4"/>
      </rPr>
      <t xml:space="preserve"> (N)=</t>
    </r>
  </si>
  <si>
    <r>
      <t>P</t>
    </r>
    <r>
      <rPr>
        <b/>
        <vertAlign val="subscript"/>
        <sz val="12"/>
        <color indexed="12"/>
        <rFont val="Comic Sans MS"/>
        <family val="4"/>
      </rPr>
      <t>M</t>
    </r>
    <r>
      <rPr>
        <b/>
        <sz val="12"/>
        <color indexed="12"/>
        <rFont val="Comic Sans MS"/>
        <family val="4"/>
      </rPr>
      <t>= Motor Output shaft power:</t>
    </r>
  </si>
  <si>
    <t>k = Factor for Motor=</t>
  </si>
  <si>
    <r>
      <t>h</t>
    </r>
    <r>
      <rPr>
        <sz val="12"/>
        <rFont val="Comic Sans MS"/>
        <family val="4"/>
      </rPr>
      <t>1 = transmission efficiency=</t>
    </r>
  </si>
  <si>
    <r>
      <t>h</t>
    </r>
    <r>
      <rPr>
        <sz val="12"/>
        <rFont val="Comic Sans MS"/>
        <family val="4"/>
      </rPr>
      <t>2 = derating factor =</t>
    </r>
  </si>
  <si>
    <t>Thus, Motor rpm selected ( considering slip) =</t>
  </si>
  <si>
    <r>
      <t>P</t>
    </r>
    <r>
      <rPr>
        <b/>
        <vertAlign val="subscript"/>
        <sz val="14"/>
        <rFont val="Comic Sans MS"/>
        <family val="4"/>
      </rPr>
      <t>M</t>
    </r>
    <r>
      <rPr>
        <b/>
        <sz val="14"/>
        <rFont val="Comic Sans MS"/>
        <family val="4"/>
      </rPr>
      <t xml:space="preserve"> (N)</t>
    </r>
    <r>
      <rPr>
        <sz val="14"/>
        <rFont val="Comic Sans MS"/>
        <family val="4"/>
      </rPr>
      <t xml:space="preserve"> =</t>
    </r>
  </si>
  <si>
    <t xml:space="preserve">A. MOTOR POWER &amp; TENSION </t>
  </si>
  <si>
    <t>B. BELTING</t>
  </si>
  <si>
    <t>C. PULLEY</t>
  </si>
  <si>
    <t>D. GEAR BOX</t>
  </si>
  <si>
    <t>E. HIGH SPEED COUPLING</t>
  </si>
  <si>
    <t>No. of stages =</t>
  </si>
  <si>
    <t>F. LOW SPEED COUPLING</t>
  </si>
  <si>
    <t>G. BRAKE</t>
  </si>
  <si>
    <t>Pulley speed =</t>
  </si>
  <si>
    <t>Speed ratio =</t>
  </si>
  <si>
    <t>W = wt. of drive pulley (N) =</t>
  </si>
  <si>
    <t>H. PULLEY SHAFT</t>
  </si>
  <si>
    <t xml:space="preserve">      i) Drive pulley shaft dia. (mm) </t>
  </si>
  <si>
    <t xml:space="preserve">      i) Tail pulley shaft dia. (mm) </t>
  </si>
  <si>
    <t xml:space="preserve">     iii) Snub pulley shaft dia. (mm) </t>
  </si>
  <si>
    <t>W = wt. of pulley (N) =</t>
  </si>
  <si>
    <t>T2=tail tension =</t>
  </si>
  <si>
    <t>1. RATED CAPACITY (TPH)=</t>
  </si>
  <si>
    <t>2. BELT SPECIFICATION=</t>
  </si>
  <si>
    <t>6. MOTOR POWER=</t>
  </si>
  <si>
    <t>7. MOTOR SPEED=</t>
  </si>
  <si>
    <t>8. T1=MAXIMUM BELT TENSION (N)=</t>
  </si>
  <si>
    <t>9. T2=MINIMUM BELT TENSION (N)=</t>
  </si>
  <si>
    <t>15. REDUCTION RATIO OF GEAR BOX=i=</t>
  </si>
  <si>
    <t>16. NOMINAL RATING OF GEARBOX (kW)=</t>
  </si>
  <si>
    <t>17. TYPE OF INPUT COUPLING=</t>
  </si>
  <si>
    <t>19. TYPE OF OUTPUT COUPLING=</t>
  </si>
  <si>
    <t>18. HP/100 RPM =</t>
  </si>
  <si>
    <t>16. NO. OF STAGES=</t>
  </si>
  <si>
    <r>
      <t>a</t>
    </r>
    <r>
      <rPr>
        <sz val="12"/>
        <rFont val="Comic Sans MS"/>
        <family val="4"/>
      </rPr>
      <t xml:space="preserve"> = (</t>
    </r>
    <r>
      <rPr>
        <b/>
        <sz val="12"/>
        <rFont val="Symbol"/>
        <family val="1"/>
        <charset val="2"/>
      </rPr>
      <t>f</t>
    </r>
    <r>
      <rPr>
        <sz val="12"/>
        <rFont val="Comic Sans MS"/>
        <family val="4"/>
      </rPr>
      <t>-180)=</t>
    </r>
  </si>
  <si>
    <t xml:space="preserve">a = Bending moment arm (cm) = </t>
  </si>
  <si>
    <r>
      <t>M</t>
    </r>
    <r>
      <rPr>
        <b/>
        <vertAlign val="subscript"/>
        <sz val="12"/>
        <rFont val="Comic Sans MS"/>
        <family val="4"/>
      </rPr>
      <t>t</t>
    </r>
    <r>
      <rPr>
        <vertAlign val="subscript"/>
        <sz val="12"/>
        <rFont val="Comic Sans MS"/>
        <family val="4"/>
      </rPr>
      <t xml:space="preserve"> </t>
    </r>
    <r>
      <rPr>
        <sz val="12"/>
        <rFont val="Comic Sans MS"/>
        <family val="4"/>
      </rPr>
      <t>= Torsional moment (kN cm) =</t>
    </r>
  </si>
  <si>
    <r>
      <t>M</t>
    </r>
    <r>
      <rPr>
        <b/>
        <vertAlign val="subscript"/>
        <sz val="12"/>
        <rFont val="Comic Sans MS"/>
        <family val="4"/>
      </rPr>
      <t>b</t>
    </r>
    <r>
      <rPr>
        <sz val="12"/>
        <rFont val="Comic Sans MS"/>
        <family val="4"/>
      </rPr>
      <t xml:space="preserve"> = Bending moment (kN cm) =</t>
    </r>
  </si>
  <si>
    <t>d = shaft dia. At brg. (mm) =</t>
  </si>
  <si>
    <r>
      <t>T</t>
    </r>
    <r>
      <rPr>
        <b/>
        <vertAlign val="subscript"/>
        <sz val="12"/>
        <rFont val="Comic Sans MS"/>
        <family val="4"/>
      </rPr>
      <t>max.</t>
    </r>
    <r>
      <rPr>
        <sz val="12"/>
        <rFont val="Comic Sans MS"/>
        <family val="4"/>
      </rPr>
      <t>=T</t>
    </r>
    <r>
      <rPr>
        <b/>
        <vertAlign val="subscript"/>
        <sz val="12"/>
        <rFont val="Comic Sans MS"/>
        <family val="4"/>
      </rPr>
      <t>1</t>
    </r>
    <r>
      <rPr>
        <sz val="12"/>
        <rFont val="Comic Sans MS"/>
        <family val="4"/>
      </rPr>
      <t>=T</t>
    </r>
    <r>
      <rPr>
        <b/>
        <vertAlign val="subscript"/>
        <sz val="12"/>
        <rFont val="Comic Sans MS"/>
        <family val="4"/>
      </rPr>
      <t>e</t>
    </r>
    <r>
      <rPr>
        <sz val="12"/>
        <rFont val="Comic Sans MS"/>
        <family val="4"/>
      </rPr>
      <t>*(</t>
    </r>
    <r>
      <rPr>
        <b/>
        <sz val="12"/>
        <rFont val="Symbol"/>
        <family val="1"/>
        <charset val="2"/>
      </rPr>
      <t>e</t>
    </r>
    <r>
      <rPr>
        <b/>
        <sz val="12"/>
        <rFont val="Comic Sans MS"/>
        <family val="4"/>
      </rPr>
      <t>/(e^</t>
    </r>
    <r>
      <rPr>
        <b/>
        <sz val="12"/>
        <rFont val="Symbol"/>
        <family val="1"/>
        <charset val="2"/>
      </rPr>
      <t>m</t>
    </r>
    <r>
      <rPr>
        <b/>
        <sz val="12"/>
        <rFont val="Comic Sans MS"/>
        <family val="4"/>
      </rPr>
      <t>*</t>
    </r>
    <r>
      <rPr>
        <b/>
        <sz val="12"/>
        <rFont val="Symbol"/>
        <family val="1"/>
        <charset val="2"/>
      </rPr>
      <t>f</t>
    </r>
    <r>
      <rPr>
        <sz val="12"/>
        <rFont val="Comic Sans MS"/>
        <family val="4"/>
      </rPr>
      <t>-1)+1)=</t>
    </r>
  </si>
  <si>
    <t>Tmax (N) =T1=</t>
  </si>
  <si>
    <r>
      <t>T</t>
    </r>
    <r>
      <rPr>
        <b/>
        <vertAlign val="subscript"/>
        <sz val="12"/>
        <rFont val="Comic Sans MS"/>
        <family val="4"/>
      </rPr>
      <t>2 min.</t>
    </r>
    <r>
      <rPr>
        <sz val="12"/>
        <rFont val="Comic Sans MS"/>
        <family val="4"/>
      </rPr>
      <t>&gt;T</t>
    </r>
    <r>
      <rPr>
        <b/>
        <vertAlign val="subscript"/>
        <sz val="12"/>
        <rFont val="Comic Sans MS"/>
        <family val="4"/>
      </rPr>
      <t>e</t>
    </r>
    <r>
      <rPr>
        <sz val="12"/>
        <rFont val="Comic Sans MS"/>
        <family val="4"/>
      </rPr>
      <t>*</t>
    </r>
    <r>
      <rPr>
        <b/>
        <sz val="12"/>
        <rFont val="Symbol"/>
        <family val="1"/>
        <charset val="2"/>
      </rPr>
      <t>e</t>
    </r>
    <r>
      <rPr>
        <sz val="12"/>
        <rFont val="Comic Sans MS"/>
        <family val="4"/>
      </rPr>
      <t>*(1/(e^</t>
    </r>
    <r>
      <rPr>
        <b/>
        <sz val="12"/>
        <rFont val="Symbol"/>
        <family val="1"/>
        <charset val="2"/>
      </rPr>
      <t>m</t>
    </r>
    <r>
      <rPr>
        <sz val="12"/>
        <rFont val="Comic Sans MS"/>
        <family val="4"/>
      </rPr>
      <t>*</t>
    </r>
    <r>
      <rPr>
        <b/>
        <sz val="12"/>
        <rFont val="Symbol"/>
        <family val="1"/>
        <charset val="2"/>
      </rPr>
      <t>f</t>
    </r>
    <r>
      <rPr>
        <sz val="12"/>
        <rFont val="Comic Sans MS"/>
        <family val="4"/>
      </rPr>
      <t>-1))=</t>
    </r>
  </si>
  <si>
    <t>Thus, T2 min.(N) =</t>
  </si>
  <si>
    <t>(BASED ON IS 11592:2000)</t>
  </si>
  <si>
    <r>
      <t>Loading of belt B</t>
    </r>
    <r>
      <rPr>
        <b/>
        <vertAlign val="subscript"/>
        <sz val="12"/>
        <rFont val="Comic Sans MS"/>
        <family val="4"/>
      </rPr>
      <t>l</t>
    </r>
    <r>
      <rPr>
        <sz val="12"/>
        <rFont val="Comic Sans MS"/>
        <family val="4"/>
      </rPr>
      <t>=T</t>
    </r>
    <r>
      <rPr>
        <b/>
        <vertAlign val="subscript"/>
        <sz val="12"/>
        <rFont val="Comic Sans MS"/>
        <family val="4"/>
      </rPr>
      <t>1</t>
    </r>
    <r>
      <rPr>
        <sz val="12"/>
        <rFont val="Comic Sans MS"/>
        <family val="4"/>
      </rPr>
      <t>/B (mm)=</t>
    </r>
  </si>
  <si>
    <r>
      <t>Recommended working tension (max.) T</t>
    </r>
    <r>
      <rPr>
        <b/>
        <vertAlign val="subscript"/>
        <sz val="12"/>
        <rFont val="Comic Sans MS"/>
        <family val="4"/>
      </rPr>
      <t>r</t>
    </r>
    <r>
      <rPr>
        <sz val="12"/>
        <rFont val="Comic Sans MS"/>
        <family val="4"/>
      </rPr>
      <t xml:space="preserve"> (kN/m) = </t>
    </r>
  </si>
  <si>
    <r>
      <t>Percentage loading = (B</t>
    </r>
    <r>
      <rPr>
        <b/>
        <vertAlign val="subscript"/>
        <sz val="12"/>
        <rFont val="Comic Sans MS"/>
        <family val="4"/>
      </rPr>
      <t>l</t>
    </r>
    <r>
      <rPr>
        <b/>
        <sz val="12"/>
        <rFont val="Comic Sans MS"/>
        <family val="4"/>
      </rPr>
      <t>/T</t>
    </r>
    <r>
      <rPr>
        <b/>
        <vertAlign val="subscript"/>
        <sz val="12"/>
        <rFont val="Comic Sans MS"/>
        <family val="4"/>
      </rPr>
      <t>r</t>
    </r>
    <r>
      <rPr>
        <b/>
        <sz val="12"/>
        <rFont val="Comic Sans MS"/>
        <family val="4"/>
      </rPr>
      <t>)*100=</t>
    </r>
  </si>
  <si>
    <r>
      <t>Maximum all working tension required T</t>
    </r>
    <r>
      <rPr>
        <b/>
        <vertAlign val="subscript"/>
        <sz val="12"/>
        <rFont val="Comic Sans MS"/>
        <family val="4"/>
      </rPr>
      <t>mw</t>
    </r>
    <r>
      <rPr>
        <sz val="12"/>
        <rFont val="Comic Sans MS"/>
        <family val="4"/>
      </rPr>
      <t xml:space="preserve"> (kN/m )= B</t>
    </r>
    <r>
      <rPr>
        <b/>
        <vertAlign val="subscript"/>
        <sz val="12"/>
        <rFont val="Comic Sans MS"/>
        <family val="4"/>
      </rPr>
      <t>l</t>
    </r>
    <r>
      <rPr>
        <sz val="12"/>
        <rFont val="Comic Sans MS"/>
        <family val="4"/>
      </rPr>
      <t>/0.8=</t>
    </r>
  </si>
  <si>
    <t xml:space="preserve">Maximum belt tension force </t>
  </si>
  <si>
    <r>
      <t>a</t>
    </r>
    <r>
      <rPr>
        <sz val="12"/>
        <rFont val="Comic Sans MS"/>
        <family val="4"/>
      </rPr>
      <t xml:space="preserve"> =</t>
    </r>
  </si>
  <si>
    <r>
      <t>sin (</t>
    </r>
    <r>
      <rPr>
        <b/>
        <sz val="12"/>
        <rFont val="Symbol"/>
        <family val="1"/>
        <charset val="2"/>
      </rPr>
      <t>a</t>
    </r>
    <r>
      <rPr>
        <sz val="12"/>
        <rFont val="Comic Sans MS"/>
        <family val="4"/>
      </rPr>
      <t>/2) =</t>
    </r>
  </si>
  <si>
    <r>
      <t>cos (180-</t>
    </r>
    <r>
      <rPr>
        <b/>
        <sz val="12"/>
        <rFont val="Symbol"/>
        <family val="1"/>
        <charset val="2"/>
      </rPr>
      <t>a</t>
    </r>
    <r>
      <rPr>
        <sz val="12"/>
        <rFont val="Comic Sans MS"/>
        <family val="4"/>
      </rPr>
      <t>/2) =</t>
    </r>
  </si>
  <si>
    <t>R = Resultant load on pulley (kN) =</t>
  </si>
  <si>
    <t>Load on each bearing (kN) =</t>
  </si>
  <si>
    <t>R = resultant tensile load on pulley (kN) =</t>
  </si>
  <si>
    <t>d = shaft dia. At brg.(mm) =</t>
  </si>
  <si>
    <r>
      <t>T</t>
    </r>
    <r>
      <rPr>
        <b/>
        <vertAlign val="subscript"/>
        <sz val="12"/>
        <rFont val="Comic Sans MS"/>
        <family val="4"/>
      </rPr>
      <t xml:space="preserve">tr </t>
    </r>
    <r>
      <rPr>
        <sz val="12"/>
        <rFont val="Comic Sans MS"/>
        <family val="4"/>
      </rPr>
      <t>= tail tension at return side =</t>
    </r>
  </si>
  <si>
    <r>
      <t>T</t>
    </r>
    <r>
      <rPr>
        <b/>
        <vertAlign val="subscript"/>
        <sz val="12"/>
        <rFont val="Comic Sans MS"/>
        <family val="4"/>
      </rPr>
      <t xml:space="preserve">tc </t>
    </r>
    <r>
      <rPr>
        <sz val="12"/>
        <rFont val="Comic Sans MS"/>
        <family val="4"/>
      </rPr>
      <t>= tail tension at carrying side =</t>
    </r>
  </si>
  <si>
    <t>3. BELT SPEED (m/s)=</t>
  </si>
  <si>
    <t>4. BELT WIDTH (mm)=</t>
  </si>
  <si>
    <t>5. LENGTH OF BELTING (mm)=</t>
  </si>
  <si>
    <r>
      <t>W</t>
    </r>
    <r>
      <rPr>
        <b/>
        <vertAlign val="subscript"/>
        <sz val="12"/>
        <rFont val="Comic Sans MS"/>
        <family val="4"/>
      </rPr>
      <t>b</t>
    </r>
    <r>
      <rPr>
        <sz val="12"/>
        <rFont val="Comic Sans MS"/>
        <family val="4"/>
      </rPr>
      <t>= weight of belt in N/m=</t>
    </r>
  </si>
  <si>
    <r>
      <t>W</t>
    </r>
    <r>
      <rPr>
        <b/>
        <vertAlign val="subscript"/>
        <sz val="12"/>
        <rFont val="Comic Sans MS"/>
        <family val="4"/>
      </rPr>
      <t>m</t>
    </r>
    <r>
      <rPr>
        <sz val="12"/>
        <rFont val="Comic Sans MS"/>
        <family val="4"/>
      </rPr>
      <t>=weight of material in N/m=</t>
    </r>
  </si>
  <si>
    <r>
      <t>S</t>
    </r>
    <r>
      <rPr>
        <b/>
        <vertAlign val="subscript"/>
        <sz val="12"/>
        <rFont val="Comic Sans MS"/>
        <family val="4"/>
      </rPr>
      <t>i</t>
    </r>
    <r>
      <rPr>
        <sz val="12"/>
        <rFont val="Comic Sans MS"/>
        <family val="4"/>
      </rPr>
      <t>= idler spacing in m=</t>
    </r>
  </si>
  <si>
    <t>ACTUAL IDLER LOAD = IL (N) =</t>
  </si>
  <si>
    <t>ADJUSTED LOAD = AL (N)=</t>
  </si>
  <si>
    <t>SHAFT DIA. AT BEARING (mm)=</t>
  </si>
  <si>
    <t>ADJUSTED LOAD = AL (N) =</t>
  </si>
  <si>
    <t>21. TORQUE FOR BRAKE (DCEM) IN (KGM)=</t>
  </si>
  <si>
    <r>
      <t>d (</t>
    </r>
    <r>
      <rPr>
        <b/>
        <sz val="12"/>
        <rFont val="Arial"/>
        <family val="2"/>
      </rPr>
      <t>degree</t>
    </r>
    <r>
      <rPr>
        <b/>
        <sz val="12"/>
        <rFont val="Symbol"/>
        <family val="1"/>
        <charset val="2"/>
      </rPr>
      <t xml:space="preserve">) </t>
    </r>
    <r>
      <rPr>
        <sz val="12"/>
        <rFont val="Comic Sans MS"/>
        <family val="4"/>
      </rPr>
      <t>= Slope angle of conveyor =</t>
    </r>
  </si>
  <si>
    <r>
      <t>m</t>
    </r>
    <r>
      <rPr>
        <sz val="12"/>
        <rFont val="Comic Sans MS"/>
        <family val="4"/>
      </rPr>
      <t>=</t>
    </r>
  </si>
  <si>
    <r>
      <t>e^</t>
    </r>
    <r>
      <rPr>
        <b/>
        <sz val="12"/>
        <rFont val="Symbol"/>
        <family val="1"/>
        <charset val="2"/>
      </rPr>
      <t>m</t>
    </r>
    <r>
      <rPr>
        <b/>
        <sz val="12"/>
        <rFont val="Comic Sans MS"/>
        <family val="4"/>
      </rPr>
      <t>*</t>
    </r>
    <r>
      <rPr>
        <b/>
        <sz val="12"/>
        <rFont val="Symbol"/>
        <family val="1"/>
        <charset val="2"/>
      </rPr>
      <t>f</t>
    </r>
    <r>
      <rPr>
        <sz val="12"/>
        <rFont val="Comic Sans MS"/>
        <family val="4"/>
      </rPr>
      <t>=</t>
    </r>
  </si>
  <si>
    <r>
      <t>e</t>
    </r>
    <r>
      <rPr>
        <sz val="12"/>
        <rFont val="Comic Sans MS"/>
        <family val="4"/>
      </rPr>
      <t xml:space="preserve"> (with coupling) =</t>
    </r>
  </si>
  <si>
    <r>
      <t>Contact angle (</t>
    </r>
    <r>
      <rPr>
        <b/>
        <sz val="12"/>
        <rFont val="Symbol"/>
        <family val="1"/>
        <charset val="2"/>
      </rPr>
      <t>f</t>
    </r>
    <r>
      <rPr>
        <sz val="12"/>
        <rFont val="Comic Sans MS"/>
        <family val="4"/>
      </rPr>
      <t xml:space="preserve">)  (degree) = </t>
    </r>
  </si>
  <si>
    <t>Sin 30 (degree) =</t>
  </si>
  <si>
    <t>Cos 30 (degree) =</t>
  </si>
  <si>
    <t>10. DRIVE PULLEY DIAMETER (mm)=</t>
  </si>
  <si>
    <t>11. SNUB PULLEY DIAMETER (mm)=</t>
  </si>
  <si>
    <t>12. TAIL PULLEY DIAMETER (mm)=</t>
  </si>
  <si>
    <t>13. CARRYING IDLER DIAMETER (mm)=</t>
  </si>
  <si>
    <t>14. IMPACT IDLER DIAMETER (mm)=</t>
  </si>
  <si>
    <r>
      <t>R=f*L*g*(m</t>
    </r>
    <r>
      <rPr>
        <b/>
        <vertAlign val="subscript"/>
        <sz val="12"/>
        <rFont val="Comic Sans MS"/>
        <family val="4"/>
      </rPr>
      <t>c</t>
    </r>
    <r>
      <rPr>
        <sz val="12"/>
        <rFont val="Comic Sans MS"/>
        <family val="4"/>
      </rPr>
      <t>+m</t>
    </r>
    <r>
      <rPr>
        <b/>
        <vertAlign val="subscript"/>
        <sz val="12"/>
        <rFont val="Comic Sans MS"/>
        <family val="4"/>
      </rPr>
      <t>r</t>
    </r>
    <r>
      <rPr>
        <sz val="12"/>
        <rFont val="Comic Sans MS"/>
        <family val="4"/>
      </rPr>
      <t>+(2*m</t>
    </r>
    <r>
      <rPr>
        <b/>
        <vertAlign val="subscript"/>
        <sz val="12"/>
        <rFont val="Comic Sans MS"/>
        <family val="4"/>
      </rPr>
      <t>B</t>
    </r>
    <r>
      <rPr>
        <sz val="12"/>
        <rFont val="Comic Sans MS"/>
        <family val="4"/>
      </rPr>
      <t>+m</t>
    </r>
    <r>
      <rPr>
        <b/>
        <vertAlign val="subscript"/>
        <sz val="12"/>
        <rFont val="Comic Sans MS"/>
        <family val="4"/>
      </rPr>
      <t>G</t>
    </r>
    <r>
      <rPr>
        <sz val="12"/>
        <rFont val="Comic Sans MS"/>
        <family val="4"/>
      </rPr>
      <t xml:space="preserve">)*cos </t>
    </r>
    <r>
      <rPr>
        <b/>
        <sz val="12"/>
        <rFont val="Symbol"/>
        <family val="1"/>
        <charset val="2"/>
      </rPr>
      <t>d</t>
    </r>
    <r>
      <rPr>
        <sz val="12"/>
        <rFont val="Comic Sans MS"/>
        <family val="4"/>
      </rPr>
      <t>)</t>
    </r>
  </si>
  <si>
    <r>
      <t>Te=R+R</t>
    </r>
    <r>
      <rPr>
        <b/>
        <vertAlign val="subscript"/>
        <sz val="14"/>
        <rFont val="Comic Sans MS"/>
        <family val="4"/>
      </rPr>
      <t>s</t>
    </r>
    <r>
      <rPr>
        <sz val="14"/>
        <rFont val="Comic Sans MS"/>
        <family val="4"/>
      </rPr>
      <t>+R</t>
    </r>
    <r>
      <rPr>
        <b/>
        <vertAlign val="subscript"/>
        <sz val="14"/>
        <rFont val="Comic Sans MS"/>
        <family val="4"/>
      </rPr>
      <t>sp1</t>
    </r>
    <r>
      <rPr>
        <sz val="14"/>
        <rFont val="Comic Sans MS"/>
        <family val="4"/>
      </rPr>
      <t>+R</t>
    </r>
    <r>
      <rPr>
        <b/>
        <vertAlign val="subscript"/>
        <sz val="14"/>
        <rFont val="Comic Sans MS"/>
        <family val="4"/>
      </rPr>
      <t>sp2</t>
    </r>
    <r>
      <rPr>
        <sz val="14"/>
        <rFont val="Comic Sans MS"/>
        <family val="4"/>
      </rPr>
      <t>+R</t>
    </r>
    <r>
      <rPr>
        <b/>
        <vertAlign val="subscript"/>
        <sz val="14"/>
        <rFont val="Comic Sans MS"/>
        <family val="4"/>
      </rPr>
      <t>sl</t>
    </r>
  </si>
  <si>
    <r>
      <t>R</t>
    </r>
    <r>
      <rPr>
        <b/>
        <vertAlign val="subscript"/>
        <sz val="12"/>
        <rFont val="Comic Sans MS"/>
        <family val="4"/>
      </rPr>
      <t>s</t>
    </r>
    <r>
      <rPr>
        <sz val="12"/>
        <rFont val="Comic Sans MS"/>
        <family val="4"/>
      </rPr>
      <t>=R</t>
    </r>
    <r>
      <rPr>
        <b/>
        <vertAlign val="subscript"/>
        <sz val="12"/>
        <rFont val="Comic Sans MS"/>
        <family val="4"/>
      </rPr>
      <t>a</t>
    </r>
    <r>
      <rPr>
        <sz val="12"/>
        <rFont val="Comic Sans MS"/>
        <family val="4"/>
      </rPr>
      <t>+R</t>
    </r>
    <r>
      <rPr>
        <b/>
        <vertAlign val="subscript"/>
        <sz val="12"/>
        <rFont val="Comic Sans MS"/>
        <family val="4"/>
      </rPr>
      <t>ska</t>
    </r>
    <r>
      <rPr>
        <sz val="12"/>
        <rFont val="Comic Sans MS"/>
        <family val="4"/>
      </rPr>
      <t>+R</t>
    </r>
    <r>
      <rPr>
        <b/>
        <vertAlign val="subscript"/>
        <sz val="12"/>
        <rFont val="Comic Sans MS"/>
        <family val="4"/>
      </rPr>
      <t>w</t>
    </r>
    <r>
      <rPr>
        <sz val="12"/>
        <rFont val="Comic Sans MS"/>
        <family val="4"/>
      </rPr>
      <t>+R</t>
    </r>
    <r>
      <rPr>
        <b/>
        <vertAlign val="subscript"/>
        <sz val="12"/>
        <rFont val="Comic Sans MS"/>
        <family val="4"/>
      </rPr>
      <t>b</t>
    </r>
  </si>
  <si>
    <r>
      <t>Thus, R</t>
    </r>
    <r>
      <rPr>
        <b/>
        <vertAlign val="subscript"/>
        <sz val="12"/>
        <rFont val="Comic Sans MS"/>
        <family val="4"/>
      </rPr>
      <t>a</t>
    </r>
    <r>
      <rPr>
        <sz val="12"/>
        <rFont val="Comic Sans MS"/>
        <family val="4"/>
      </rPr>
      <t>= Q*1000*</t>
    </r>
    <r>
      <rPr>
        <b/>
        <sz val="12"/>
        <rFont val="Symbol"/>
        <family val="1"/>
        <charset val="2"/>
      </rPr>
      <t>r</t>
    </r>
    <r>
      <rPr>
        <sz val="12"/>
        <rFont val="Comic Sans MS"/>
        <family val="4"/>
      </rPr>
      <t>*(V-V0)</t>
    </r>
  </si>
  <si>
    <r>
      <t>Thus, R</t>
    </r>
    <r>
      <rPr>
        <b/>
        <vertAlign val="subscript"/>
        <sz val="12"/>
        <rFont val="Comic Sans MS"/>
        <family val="4"/>
      </rPr>
      <t>a</t>
    </r>
    <r>
      <rPr>
        <sz val="12"/>
        <rFont val="Comic Sans MS"/>
        <family val="4"/>
      </rPr>
      <t xml:space="preserve"> (N) =</t>
    </r>
  </si>
  <si>
    <r>
      <t>Thus, R</t>
    </r>
    <r>
      <rPr>
        <b/>
        <vertAlign val="subscript"/>
        <sz val="12"/>
        <rFont val="Comic Sans MS"/>
        <family val="4"/>
      </rPr>
      <t>ska</t>
    </r>
    <r>
      <rPr>
        <sz val="12"/>
        <rFont val="Comic Sans MS"/>
        <family val="4"/>
      </rPr>
      <t xml:space="preserve"> (N)=</t>
    </r>
  </si>
  <si>
    <r>
      <t>R</t>
    </r>
    <r>
      <rPr>
        <b/>
        <vertAlign val="subscript"/>
        <sz val="12"/>
        <rFont val="Comic Sans MS"/>
        <family val="4"/>
      </rPr>
      <t>w</t>
    </r>
    <r>
      <rPr>
        <sz val="12"/>
        <rFont val="Comic Sans MS"/>
        <family val="4"/>
      </rPr>
      <t>= 9*B*(140+0.01*(T</t>
    </r>
    <r>
      <rPr>
        <vertAlign val="subscript"/>
        <sz val="12"/>
        <rFont val="Comic Sans MS"/>
        <family val="4"/>
      </rPr>
      <t>av</t>
    </r>
    <r>
      <rPr>
        <sz val="12"/>
        <rFont val="Comic Sans MS"/>
        <family val="4"/>
      </rPr>
      <t>/B))*(t/D)=</t>
    </r>
  </si>
  <si>
    <r>
      <t>R</t>
    </r>
    <r>
      <rPr>
        <b/>
        <vertAlign val="subscript"/>
        <sz val="12"/>
        <rFont val="Comic Sans MS"/>
        <family val="4"/>
      </rPr>
      <t>w</t>
    </r>
    <r>
      <rPr>
        <sz val="12"/>
        <rFont val="Comic Sans MS"/>
        <family val="4"/>
      </rPr>
      <t xml:space="preserve"> (N) = </t>
    </r>
  </si>
  <si>
    <r>
      <t>Thus, R</t>
    </r>
    <r>
      <rPr>
        <b/>
        <vertAlign val="subscript"/>
        <sz val="12"/>
        <rFont val="Comic Sans MS"/>
        <family val="4"/>
      </rPr>
      <t>b</t>
    </r>
    <r>
      <rPr>
        <sz val="12"/>
        <rFont val="Comic Sans MS"/>
        <family val="4"/>
      </rPr>
      <t xml:space="preserve"> (N) =</t>
    </r>
  </si>
  <si>
    <r>
      <t>R</t>
    </r>
    <r>
      <rPr>
        <b/>
        <vertAlign val="subscript"/>
        <sz val="12"/>
        <rFont val="Comic Sans MS"/>
        <family val="4"/>
      </rPr>
      <t>b</t>
    </r>
    <r>
      <rPr>
        <sz val="12"/>
        <rFont val="Comic Sans MS"/>
        <family val="4"/>
      </rPr>
      <t>=0.005*(d/D)*Rv</t>
    </r>
  </si>
  <si>
    <r>
      <t>R</t>
    </r>
    <r>
      <rPr>
        <b/>
        <vertAlign val="subscript"/>
        <sz val="12"/>
        <rFont val="Comic Sans MS"/>
        <family val="4"/>
      </rPr>
      <t>b</t>
    </r>
    <r>
      <rPr>
        <sz val="12"/>
        <rFont val="Comic Sans MS"/>
        <family val="4"/>
      </rPr>
      <t xml:space="preserve"> (N)=</t>
    </r>
  </si>
  <si>
    <r>
      <t>R</t>
    </r>
    <r>
      <rPr>
        <b/>
        <vertAlign val="subscript"/>
        <sz val="12"/>
        <rFont val="Comic Sans MS"/>
        <family val="4"/>
      </rPr>
      <t>sp1</t>
    </r>
    <r>
      <rPr>
        <sz val="12"/>
        <rFont val="Comic Sans MS"/>
        <family val="4"/>
      </rPr>
      <t>=R</t>
    </r>
    <r>
      <rPr>
        <b/>
        <vertAlign val="subscript"/>
        <sz val="12"/>
        <rFont val="Comic Sans MS"/>
        <family val="4"/>
      </rPr>
      <t>i</t>
    </r>
    <r>
      <rPr>
        <sz val="12"/>
        <rFont val="Comic Sans MS"/>
        <family val="4"/>
      </rPr>
      <t>+R</t>
    </r>
    <r>
      <rPr>
        <b/>
        <vertAlign val="subscript"/>
        <sz val="12"/>
        <rFont val="Comic Sans MS"/>
        <family val="4"/>
      </rPr>
      <t>sk</t>
    </r>
  </si>
  <si>
    <r>
      <t xml:space="preserve"> R</t>
    </r>
    <r>
      <rPr>
        <b/>
        <vertAlign val="subscript"/>
        <sz val="12"/>
        <color indexed="8"/>
        <rFont val="Comic Sans MS"/>
        <family val="4"/>
      </rPr>
      <t>i</t>
    </r>
    <r>
      <rPr>
        <sz val="12"/>
        <color indexed="8"/>
        <rFont val="Comic Sans MS"/>
        <family val="4"/>
      </rPr>
      <t>=g*C</t>
    </r>
    <r>
      <rPr>
        <b/>
        <vertAlign val="subscript"/>
        <sz val="12"/>
        <color indexed="8"/>
        <rFont val="Comic Sans MS"/>
        <family val="4"/>
      </rPr>
      <t>i</t>
    </r>
    <r>
      <rPr>
        <sz val="12"/>
        <color indexed="8"/>
        <rFont val="Comic Sans MS"/>
        <family val="4"/>
      </rPr>
      <t>*</t>
    </r>
    <r>
      <rPr>
        <b/>
        <sz val="12"/>
        <color indexed="8"/>
        <rFont val="Symbol"/>
        <family val="1"/>
        <charset val="2"/>
      </rPr>
      <t>m</t>
    </r>
    <r>
      <rPr>
        <b/>
        <vertAlign val="subscript"/>
        <sz val="12"/>
        <color indexed="8"/>
        <rFont val="Comic Sans MS"/>
        <family val="4"/>
      </rPr>
      <t>0</t>
    </r>
    <r>
      <rPr>
        <sz val="12"/>
        <color indexed="8"/>
        <rFont val="Comic Sans MS"/>
        <family val="4"/>
      </rPr>
      <t>*L</t>
    </r>
    <r>
      <rPr>
        <b/>
        <vertAlign val="subscript"/>
        <sz val="12"/>
        <color indexed="8"/>
        <rFont val="Comic Sans MS"/>
        <family val="4"/>
      </rPr>
      <t>i</t>
    </r>
    <r>
      <rPr>
        <sz val="12"/>
        <color indexed="8"/>
        <rFont val="Comic Sans MS"/>
        <family val="4"/>
      </rPr>
      <t>*(m</t>
    </r>
    <r>
      <rPr>
        <b/>
        <vertAlign val="subscript"/>
        <sz val="12"/>
        <color indexed="8"/>
        <rFont val="Comic Sans MS"/>
        <family val="4"/>
      </rPr>
      <t>B</t>
    </r>
    <r>
      <rPr>
        <sz val="12"/>
        <color indexed="8"/>
        <rFont val="Comic Sans MS"/>
        <family val="4"/>
      </rPr>
      <t>+m</t>
    </r>
    <r>
      <rPr>
        <b/>
        <vertAlign val="subscript"/>
        <sz val="12"/>
        <color indexed="8"/>
        <rFont val="Comic Sans MS"/>
        <family val="4"/>
      </rPr>
      <t>G</t>
    </r>
    <r>
      <rPr>
        <sz val="12"/>
        <color indexed="8"/>
        <rFont val="Comic Sans MS"/>
        <family val="4"/>
      </rPr>
      <t xml:space="preserve">)*Cos </t>
    </r>
    <r>
      <rPr>
        <b/>
        <sz val="12"/>
        <color indexed="8"/>
        <rFont val="Symbol"/>
        <family val="1"/>
        <charset val="2"/>
      </rPr>
      <t>d</t>
    </r>
    <r>
      <rPr>
        <sz val="12"/>
        <color indexed="8"/>
        <rFont val="Comic Sans MS"/>
        <family val="4"/>
      </rPr>
      <t>*Sin</t>
    </r>
    <r>
      <rPr>
        <b/>
        <vertAlign val="subscript"/>
        <sz val="12"/>
        <color indexed="8"/>
        <rFont val="Comic Sans MS"/>
        <family val="4"/>
      </rPr>
      <t>i</t>
    </r>
  </si>
  <si>
    <r>
      <t>Thus, R</t>
    </r>
    <r>
      <rPr>
        <b/>
        <vertAlign val="subscript"/>
        <sz val="12"/>
        <rFont val="Comic Sans MS"/>
        <family val="4"/>
      </rPr>
      <t>bc</t>
    </r>
    <r>
      <rPr>
        <sz val="12"/>
        <rFont val="Comic Sans MS"/>
        <family val="4"/>
      </rPr>
      <t xml:space="preserve"> (N)= </t>
    </r>
  </si>
  <si>
    <t>Troughing angle= 35</t>
  </si>
  <si>
    <t>Troughing angle= 20</t>
  </si>
  <si>
    <t xml:space="preserve">x-area </t>
  </si>
  <si>
    <t>Selected</t>
  </si>
  <si>
    <t>gravity</t>
  </si>
  <si>
    <t>Transition idlers        (11 deg)</t>
  </si>
  <si>
    <t>Transition idlers        (20 deg)</t>
  </si>
  <si>
    <t>Pull cord switches</t>
  </si>
  <si>
    <t>Belt sway switches</t>
  </si>
  <si>
    <t>Zero speed switch</t>
  </si>
  <si>
    <t>K-11</t>
  </si>
  <si>
    <t>Rated  Qr (tph)=</t>
  </si>
  <si>
    <t>RATED CAPACITY (TPH)</t>
  </si>
  <si>
    <t>1250/4</t>
  </si>
  <si>
    <t>POWER</t>
  </si>
  <si>
    <t>Conveyor Capacity</t>
  </si>
  <si>
    <t>Bulk density=r= (t/m^3)</t>
  </si>
  <si>
    <t>Belt Speed=v (m/sec)</t>
  </si>
  <si>
    <t>Cross Sectional area of chute=A (m2)=Qd/v * 3600 *r</t>
  </si>
  <si>
    <t>Chute dimension (one side)= 1000 * √A mm</t>
  </si>
  <si>
    <t>Chute dimension (other side)</t>
  </si>
  <si>
    <r>
      <t>R</t>
    </r>
    <r>
      <rPr>
        <b/>
        <vertAlign val="subscript"/>
        <sz val="12"/>
        <rFont val="Comic Sans MS"/>
        <family val="4"/>
      </rPr>
      <t>ska</t>
    </r>
    <r>
      <rPr>
        <sz val="12"/>
        <rFont val="Comic Sans MS"/>
        <family val="4"/>
      </rPr>
      <t>=(</t>
    </r>
    <r>
      <rPr>
        <b/>
        <sz val="12"/>
        <rFont val="Symbol"/>
        <family val="1"/>
        <charset val="2"/>
      </rPr>
      <t>m</t>
    </r>
    <r>
      <rPr>
        <sz val="12"/>
        <rFont val="Comic Sans MS"/>
        <family val="4"/>
      </rPr>
      <t>2*Q^2*1000*</t>
    </r>
    <r>
      <rPr>
        <b/>
        <sz val="12"/>
        <rFont val="Symbol"/>
        <family val="1"/>
        <charset val="2"/>
      </rPr>
      <t>r</t>
    </r>
    <r>
      <rPr>
        <sz val="12"/>
        <rFont val="Comic Sans MS"/>
        <family val="4"/>
      </rPr>
      <t>*la*g)/(((V+V0)/2)^2*b1^2)</t>
    </r>
  </si>
  <si>
    <r>
      <t>R</t>
    </r>
    <r>
      <rPr>
        <vertAlign val="subscript"/>
        <sz val="12"/>
        <rFont val="Comic Sans MS"/>
        <family val="4"/>
      </rPr>
      <t>sk</t>
    </r>
    <r>
      <rPr>
        <sz val="12"/>
        <rFont val="Comic Sans MS"/>
        <family val="4"/>
      </rPr>
      <t>=(</t>
    </r>
    <r>
      <rPr>
        <b/>
        <sz val="12"/>
        <rFont val="Symbol"/>
        <family val="1"/>
        <charset val="2"/>
      </rPr>
      <t>m</t>
    </r>
    <r>
      <rPr>
        <b/>
        <vertAlign val="subscript"/>
        <sz val="12"/>
        <rFont val="Comic Sans MS"/>
        <family val="4"/>
      </rPr>
      <t>2</t>
    </r>
    <r>
      <rPr>
        <sz val="12"/>
        <rFont val="Comic Sans MS"/>
        <family val="4"/>
      </rPr>
      <t>*Q^2*1000*</t>
    </r>
    <r>
      <rPr>
        <b/>
        <sz val="12"/>
        <rFont val="Symbol"/>
        <family val="1"/>
        <charset val="2"/>
      </rPr>
      <t>r</t>
    </r>
    <r>
      <rPr>
        <sz val="12"/>
        <rFont val="Comic Sans MS"/>
        <family val="4"/>
      </rPr>
      <t>*g*l</t>
    </r>
    <r>
      <rPr>
        <b/>
        <vertAlign val="subscript"/>
        <sz val="12"/>
        <rFont val="Comic Sans MS"/>
        <family val="4"/>
      </rPr>
      <t>sk</t>
    </r>
    <r>
      <rPr>
        <sz val="12"/>
        <rFont val="Comic Sans MS"/>
        <family val="4"/>
      </rPr>
      <t>)/(V^2*b</t>
    </r>
    <r>
      <rPr>
        <vertAlign val="subscript"/>
        <sz val="12"/>
        <rFont val="Comic Sans MS"/>
        <family val="4"/>
      </rPr>
      <t>1</t>
    </r>
    <r>
      <rPr>
        <sz val="12"/>
        <rFont val="Comic Sans MS"/>
        <family val="4"/>
      </rPr>
      <t>^2)</t>
    </r>
  </si>
  <si>
    <t>This is final &amp; correct</t>
  </si>
  <si>
    <t>Corrections done on 05.03.2016 for Rska &amp; Rsk (Multifying factor 2 has been removed)</t>
  </si>
  <si>
    <t>kW/ rpm =</t>
  </si>
  <si>
    <t>20. kW/ RPM =</t>
  </si>
  <si>
    <t>BC-603</t>
  </si>
  <si>
    <t>Correct Belt type</t>
  </si>
  <si>
    <t>Compatibility Report for Conveyor Calculation Official.xls</t>
  </si>
  <si>
    <t>Run on 08-06-2026 12:10</t>
  </si>
  <si>
    <t>If the workbook is saved in an earlier file format or opened in an earlier version of Microsoft Excel, the listed features will not be available.</t>
  </si>
  <si>
    <t>Significant loss of functionality</t>
  </si>
  <si>
    <t>No. of occurrences</t>
  </si>
  <si>
    <t>Version</t>
  </si>
  <si>
    <t>One or more cells in this workbook contain a formula that has spilled or may spill in the future. These formulas will be converted into legacy array formulas and will not spill or change dimension in older versions of Excel.</t>
  </si>
  <si>
    <t>DATA BANK'!H7</t>
  </si>
  <si>
    <t>Excel 97-2003</t>
  </si>
  <si>
    <t>Excel 2007</t>
  </si>
  <si>
    <t>Excel 2010</t>
  </si>
  <si>
    <t>Excel 2013</t>
  </si>
  <si>
    <t>Excel 2016</t>
  </si>
  <si>
    <t>Excel 2019</t>
  </si>
  <si>
    <t>One or more functions or operators in this workbook are not available in earlier versions of Excel.  When recalculated in earlier versions, these formulae will return a #NAME? error instead of calculated results.</t>
  </si>
  <si>
    <t>POWER'!B56</t>
  </si>
  <si>
    <t>POWER'!B39</t>
  </si>
  <si>
    <t>Gearbox kW</t>
  </si>
  <si>
    <t>Diameter of idler</t>
  </si>
  <si>
    <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</si>
</sst>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62">
    <font>
      <sz val="10"/>
      <name val="Arial"/>
    </font>
    <font>
      <b/>
      <u/>
      <sz val="12"/>
      <color indexed="10"/>
      <name val="Arial"/>
      <family val="2"/>
    </font>
    <font>
      <b/>
      <u/>
      <sz val="10"/>
      <name val="Arial"/>
      <family val="2"/>
    </font>
    <font>
      <b/>
      <sz val="10"/>
      <name val="Arial"/>
      <family val="2"/>
    </font>
    <font>
      <b/>
      <sz val="12"/>
      <name val="Arial"/>
      <family val="2"/>
    </font>
    <font>
      <b/>
      <sz val="12"/>
      <color indexed="12"/>
      <name val="Arial"/>
      <family val="2"/>
    </font>
    <font>
      <u/>
      <sz val="10"/>
      <name val="Arial"/>
      <family val="2"/>
    </font>
    <font>
      <sz val="12"/>
      <name val="Arial"/>
      <family val="2"/>
    </font>
    <font>
      <b/>
      <sz val="12"/>
      <color indexed="10"/>
      <name val="Arial"/>
      <family val="2"/>
    </font>
    <font>
      <b/>
      <sz val="10"/>
      <color indexed="10"/>
      <name val="Arial"/>
      <family val="2"/>
    </font>
    <font>
      <b/>
      <sz val="10"/>
      <color indexed="12"/>
      <name val="Arial"/>
      <family val="2"/>
    </font>
    <font>
      <b/>
      <sz val="10"/>
      <color indexed="57"/>
      <name val="Arial"/>
      <family val="2"/>
    </font>
    <font>
      <b/>
      <sz val="10"/>
      <color indexed="14"/>
      <name val="Arial"/>
      <family val="2"/>
    </font>
    <font>
      <b/>
      <u/>
      <sz val="14"/>
      <color indexed="10"/>
      <name val="Arial"/>
      <family val="2"/>
    </font>
    <font>
      <b/>
      <sz val="12"/>
      <color indexed="14"/>
      <name val="Arial"/>
      <family val="2"/>
    </font>
    <font>
      <b/>
      <sz val="12"/>
      <color indexed="57"/>
      <name val="Arial"/>
      <family val="2"/>
    </font>
    <font>
      <sz val="10"/>
      <color indexed="10"/>
      <name val="Arial"/>
      <family val="2"/>
    </font>
    <font>
      <b/>
      <sz val="14"/>
      <color indexed="10"/>
      <name val="Arial"/>
      <family val="2"/>
    </font>
    <font>
      <b/>
      <sz val="14"/>
      <name val="Arial"/>
      <family val="2"/>
    </font>
    <font>
      <sz val="14"/>
      <name val="Arial"/>
      <family val="2"/>
    </font>
    <font>
      <sz val="10"/>
      <name val="Comic Sans MS"/>
      <family val="4"/>
    </font>
    <font>
      <b/>
      <u/>
      <sz val="16"/>
      <color indexed="10"/>
      <name val="Comic Sans MS"/>
      <family val="4"/>
    </font>
    <font>
      <b/>
      <u/>
      <sz val="10"/>
      <name val="Comic Sans MS"/>
      <family val="4"/>
    </font>
    <font>
      <b/>
      <sz val="10"/>
      <name val="Comic Sans MS"/>
      <family val="4"/>
    </font>
    <font>
      <b/>
      <sz val="12"/>
      <name val="Comic Sans MS"/>
      <family val="4"/>
    </font>
    <font>
      <b/>
      <sz val="12"/>
      <color indexed="12"/>
      <name val="Comic Sans MS"/>
      <family val="4"/>
    </font>
    <font>
      <sz val="12"/>
      <color indexed="12"/>
      <name val="Comic Sans MS"/>
      <family val="4"/>
    </font>
    <font>
      <u/>
      <sz val="12"/>
      <name val="Comic Sans MS"/>
      <family val="4"/>
    </font>
    <font>
      <u/>
      <sz val="10"/>
      <name val="Comic Sans MS"/>
      <family val="4"/>
    </font>
    <font>
      <sz val="12"/>
      <name val="Comic Sans MS"/>
      <family val="4"/>
    </font>
    <font>
      <b/>
      <sz val="12"/>
      <color indexed="10"/>
      <name val="Comic Sans MS"/>
      <family val="4"/>
    </font>
    <font>
      <b/>
      <sz val="12"/>
      <color indexed="14"/>
      <name val="Comic Sans MS"/>
      <family val="4"/>
    </font>
    <font>
      <sz val="12"/>
      <color indexed="8"/>
      <name val="Comic Sans MS"/>
      <family val="4"/>
    </font>
    <font>
      <b/>
      <u/>
      <sz val="14"/>
      <color indexed="10"/>
      <name val="Comic Sans MS"/>
      <family val="4"/>
    </font>
    <font>
      <b/>
      <sz val="12"/>
      <color indexed="48"/>
      <name val="Comic Sans MS"/>
      <family val="4"/>
    </font>
    <font>
      <sz val="12"/>
      <color indexed="10"/>
      <name val="Comic Sans MS"/>
      <family val="4"/>
    </font>
    <font>
      <b/>
      <sz val="14"/>
      <color indexed="10"/>
      <name val="Comic Sans MS"/>
      <family val="4"/>
    </font>
    <font>
      <sz val="12"/>
      <color indexed="14"/>
      <name val="Comic Sans MS"/>
      <family val="4"/>
    </font>
    <font>
      <b/>
      <sz val="12"/>
      <name val="Symbol"/>
      <family val="1"/>
      <charset val="2"/>
    </font>
    <font>
      <sz val="18"/>
      <color indexed="10"/>
      <name val="Comic Sans MS"/>
      <family val="4"/>
    </font>
    <font>
      <sz val="14"/>
      <name val="Comic Sans MS"/>
      <family val="4"/>
    </font>
    <font>
      <sz val="14"/>
      <color indexed="10"/>
      <name val="Comic Sans MS"/>
      <family val="4"/>
    </font>
    <font>
      <b/>
      <sz val="14"/>
      <color indexed="12"/>
      <name val="Comic Sans MS"/>
      <family val="4"/>
    </font>
    <font>
      <b/>
      <sz val="12"/>
      <color indexed="12"/>
      <name val="Symbol"/>
      <family val="1"/>
      <charset val="2"/>
    </font>
    <font>
      <b/>
      <vertAlign val="subscript"/>
      <sz val="14"/>
      <color indexed="12"/>
      <name val="Comic Sans MS"/>
      <family val="4"/>
    </font>
    <font>
      <vertAlign val="subscript"/>
      <sz val="12"/>
      <name val="Comic Sans MS"/>
      <family val="4"/>
    </font>
    <font>
      <b/>
      <vertAlign val="subscript"/>
      <sz val="12"/>
      <color indexed="12"/>
      <name val="Comic Sans MS"/>
      <family val="4"/>
    </font>
    <font>
      <b/>
      <vertAlign val="subscript"/>
      <sz val="14"/>
      <color indexed="10"/>
      <name val="Comic Sans MS"/>
      <family val="4"/>
    </font>
    <font>
      <vertAlign val="subscript"/>
      <sz val="14"/>
      <color indexed="10"/>
      <name val="Comic Sans MS"/>
      <family val="4"/>
    </font>
    <font>
      <b/>
      <sz val="12"/>
      <color indexed="8"/>
      <name val="Symbol"/>
      <family val="1"/>
      <charset val="2"/>
    </font>
    <font>
      <b/>
      <vertAlign val="subscript"/>
      <sz val="12"/>
      <color indexed="8"/>
      <name val="Comic Sans MS"/>
      <family val="4"/>
    </font>
    <font>
      <b/>
      <vertAlign val="subscript"/>
      <sz val="12"/>
      <name val="Comic Sans MS"/>
      <family val="4"/>
    </font>
    <font>
      <b/>
      <sz val="14"/>
      <name val="Comic Sans MS"/>
      <family val="4"/>
    </font>
    <font>
      <b/>
      <vertAlign val="subscript"/>
      <sz val="14"/>
      <name val="Comic Sans MS"/>
      <family val="4"/>
    </font>
    <font>
      <b/>
      <sz val="14"/>
      <color indexed="53"/>
      <name val="Comic Sans MS"/>
      <family val="4"/>
    </font>
    <font>
      <sz val="12"/>
      <name val="Arial"/>
      <family val="2"/>
    </font>
    <font>
      <b/>
      <sz val="14"/>
      <color indexed="12"/>
      <name val="Arial"/>
      <family val="2"/>
    </font>
    <font>
      <sz val="12"/>
      <name val="Calibri"/>
      <family val="2"/>
    </font>
    <font>
      <sz val="10"/>
      <name val="Calibri"/>
      <family val="2"/>
    </font>
    <font>
      <sz val="14"/>
      <name val="Calibri"/>
      <family val="2"/>
    </font>
    <font>
      <sz val="10"/>
      <name val="Cosmic Sans MS"/>
    </font>
    <font>
      <u/>
      <sz val="10"/>
      <color theme="10"/>
      <name val="Arial"/>
      <family val="2"/>
    </font>
  </fonts>
  <fills count="10">
    <fill>
      <patternFill patternType="none"/>
    </fill>
    <fill>
      <patternFill patternType="gray125"/>
    </fill>
    <fill>
      <patternFill patternType="solid">
        <fgColor indexed="13"/>
        <bgColor indexed="64"/>
      </patternFill>
    </fill>
    <fill>
      <patternFill patternType="solid">
        <fgColor indexed="15"/>
        <bgColor indexed="64"/>
      </patternFill>
    </fill>
    <fill>
      <patternFill patternType="solid">
        <fgColor indexed="46"/>
        <bgColor indexed="64"/>
      </patternFill>
    </fill>
    <fill>
      <patternFill patternType="solid">
        <fgColor indexed="11"/>
        <bgColor indexed="64"/>
      </patternFill>
    </fill>
    <fill>
      <patternFill patternType="solid">
        <fgColor indexed="14"/>
        <bgColor indexed="64"/>
      </patternFill>
    </fill>
    <fill>
      <patternFill patternType="solid">
        <fgColor indexed="53"/>
        <bgColor indexed="64"/>
      </patternFill>
    </fill>
    <fill>
      <patternFill patternType="solid">
        <fgColor indexed="44"/>
        <bgColor indexed="64"/>
      </patternFill>
    </fill>
    <fill>
      <patternFill patternType="solid">
        <fgColor indexed="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right/>
      <top/>
      <bottom style="medium">
        <color indexed="8"/>
      </bottom>
      <diagonal/>
    </border>
    <border>
      <left style="medium">
        <color indexed="8"/>
      </left>
      <right/>
      <top/>
      <bottom style="medium">
        <color indexed="8"/>
      </bottom>
      <diagonal/>
    </border>
    <border>
      <left/>
      <right style="medium">
        <color indexed="8"/>
      </right>
      <top/>
      <bottom style="medium">
        <color indexed="8"/>
      </bottom>
      <diagonal/>
    </border>
  </borders>
  <cellStyleXfs count="2">
    <xf numFmtId="0" fontId="0" fillId="0" borderId="0"/>
    <xf numFmtId="0" fontId="61" fillId="0" borderId="0" applyNumberFormat="0" applyFill="0" applyBorder="0" applyAlignment="0" applyProtection="0"/>
  </cellStyleXfs>
  <cellXfs count="233">
    <xf numFmtId="0" fontId="0" fillId="0" borderId="0" xfId="0"/>
    <xf numFmtId="0" fontId="2" fillId="0" borderId="0" xfId="0" applyFont="1"/>
    <xf numFmtId="0" fontId="7" fillId="0" borderId="0" xfId="0" applyFont="1"/>
    <xf numFmtId="0" fontId="7" fillId="0" borderId="0" xfId="0" applyFont="1" applyBorder="1"/>
    <xf numFmtId="0" fontId="0" fillId="0" borderId="1" xfId="0" applyBorder="1"/>
    <xf numFmtId="0" fontId="10" fillId="0" borderId="1" xfId="0" applyFont="1" applyBorder="1" applyAlignment="1">
      <alignment vertical="top"/>
    </xf>
    <xf numFmtId="0" fontId="10" fillId="0" borderId="1" xfId="0" applyFont="1" applyBorder="1" applyAlignment="1">
      <alignment vertical="top" wrapText="1"/>
    </xf>
    <xf numFmtId="0" fontId="8" fillId="0" borderId="0" xfId="0" applyFont="1" applyBorder="1"/>
    <xf numFmtId="0" fontId="0" fillId="0" borderId="0" xfId="0" applyBorder="1"/>
    <xf numFmtId="0" fontId="0" fillId="0" borderId="1" xfId="0" applyBorder="1" applyAlignment="1">
      <alignment horizontal="center"/>
    </xf>
    <xf numFmtId="0" fontId="8" fillId="0" borderId="1" xfId="0" applyFont="1" applyBorder="1" applyAlignment="1">
      <alignment horizontal="center" vertical="top" wrapText="1"/>
    </xf>
    <xf numFmtId="0" fontId="7" fillId="0" borderId="1" xfId="0" applyFont="1" applyBorder="1" applyAlignment="1">
      <alignment horizontal="center"/>
    </xf>
    <xf numFmtId="0" fontId="7" fillId="0" borderId="1" xfId="0" applyFont="1" applyBorder="1"/>
    <xf numFmtId="0" fontId="7" fillId="0" borderId="0" xfId="0" applyFont="1" applyBorder="1" applyAlignment="1">
      <alignment horizontal="center"/>
    </xf>
    <xf numFmtId="0" fontId="0" fillId="0" borderId="0" xfId="0" applyAlignment="1">
      <alignment vertical="top" wrapText="1"/>
    </xf>
    <xf numFmtId="0" fontId="10" fillId="0" borderId="0" xfId="0" applyFont="1" applyAlignment="1">
      <alignment vertical="top" wrapText="1"/>
    </xf>
    <xf numFmtId="0" fontId="11" fillId="0" borderId="0" xfId="0" applyFont="1"/>
    <xf numFmtId="0" fontId="11" fillId="0" borderId="1" xfId="0" applyFont="1" applyBorder="1" applyAlignment="1">
      <alignment vertical="top" wrapText="1"/>
    </xf>
    <xf numFmtId="0" fontId="11" fillId="0" borderId="1" xfId="0" applyFont="1" applyBorder="1"/>
    <xf numFmtId="0" fontId="10" fillId="0" borderId="0" xfId="0" applyFont="1"/>
    <xf numFmtId="0" fontId="12" fillId="0" borderId="1" xfId="0" applyFont="1" applyBorder="1"/>
    <xf numFmtId="0" fontId="12" fillId="0" borderId="1" xfId="0" applyFont="1" applyBorder="1" applyAlignment="1">
      <alignment vertical="top" wrapText="1"/>
    </xf>
    <xf numFmtId="0" fontId="10" fillId="0" borderId="2" xfId="0" applyFont="1" applyBorder="1"/>
    <xf numFmtId="0" fontId="0" fillId="0" borderId="3" xfId="0" applyBorder="1"/>
    <xf numFmtId="0" fontId="0" fillId="0" borderId="4" xfId="0" applyBorder="1"/>
    <xf numFmtId="0" fontId="10" fillId="0" borderId="4" xfId="0" applyFont="1" applyBorder="1"/>
    <xf numFmtId="0" fontId="11" fillId="0" borderId="1" xfId="0" applyFont="1" applyBorder="1" applyAlignment="1">
      <alignment horizontal="center"/>
    </xf>
    <xf numFmtId="0" fontId="11" fillId="0" borderId="5" xfId="0" applyFont="1" applyFill="1" applyBorder="1"/>
    <xf numFmtId="0" fontId="11" fillId="0" borderId="1" xfId="0" applyFont="1" applyFill="1" applyBorder="1"/>
    <xf numFmtId="0" fontId="11" fillId="0" borderId="1" xfId="0" applyFont="1" applyFill="1" applyBorder="1" applyAlignment="1">
      <alignment horizontal="center"/>
    </xf>
    <xf numFmtId="0" fontId="4" fillId="0" borderId="1" xfId="0" applyFont="1" applyBorder="1"/>
    <xf numFmtId="0" fontId="10" fillId="0" borderId="1" xfId="0" applyFont="1" applyBorder="1" applyAlignment="1">
      <alignment horizontal="right"/>
    </xf>
    <xf numFmtId="0" fontId="8" fillId="0" borderId="1" xfId="0" applyFont="1" applyBorder="1" applyAlignment="1">
      <alignment horizontal="center"/>
    </xf>
    <xf numFmtId="0" fontId="5" fillId="0" borderId="1" xfId="0" applyFont="1" applyBorder="1" applyAlignment="1">
      <alignment horizontal="center"/>
    </xf>
    <xf numFmtId="0" fontId="3" fillId="2" borderId="1" xfId="0" applyFont="1" applyFill="1" applyBorder="1" applyAlignment="1">
      <alignment vertical="top"/>
    </xf>
    <xf numFmtId="0" fontId="3" fillId="2" borderId="6" xfId="0" applyFont="1" applyFill="1" applyBorder="1" applyAlignment="1">
      <alignment vertical="top"/>
    </xf>
    <xf numFmtId="0" fontId="3" fillId="2" borderId="1" xfId="0" applyFont="1" applyFill="1" applyBorder="1" applyAlignment="1">
      <alignment vertical="top" wrapText="1"/>
    </xf>
    <xf numFmtId="0" fontId="3" fillId="2" borderId="1" xfId="0" applyFont="1" applyFill="1" applyBorder="1" applyAlignment="1">
      <alignment horizontal="center" vertical="top" wrapText="1"/>
    </xf>
    <xf numFmtId="0" fontId="1" fillId="0" borderId="0" xfId="0" applyFont="1" applyFill="1"/>
    <xf numFmtId="0" fontId="6" fillId="0" borderId="0" xfId="0" applyFont="1" applyFill="1"/>
    <xf numFmtId="0" fontId="13" fillId="3" borderId="0" xfId="0" applyFont="1" applyFill="1"/>
    <xf numFmtId="0" fontId="8" fillId="2" borderId="0" xfId="0" applyFont="1" applyFill="1" applyBorder="1" applyAlignment="1">
      <alignment horizontal="left"/>
    </xf>
    <xf numFmtId="0" fontId="0" fillId="2" borderId="0" xfId="0" applyFill="1"/>
    <xf numFmtId="0" fontId="8" fillId="0" borderId="1" xfId="0" applyFont="1" applyBorder="1" applyAlignment="1">
      <alignment vertical="top" wrapText="1"/>
    </xf>
    <xf numFmtId="0" fontId="8" fillId="0" borderId="1" xfId="0" applyFont="1" applyBorder="1"/>
    <xf numFmtId="2" fontId="5" fillId="0" borderId="0" xfId="0" applyNumberFormat="1" applyFont="1" applyFill="1" applyBorder="1"/>
    <xf numFmtId="0" fontId="9" fillId="0" borderId="0" xfId="0" applyFont="1" applyFill="1" applyBorder="1" applyAlignment="1">
      <alignment horizontal="center" vertical="top" wrapText="1"/>
    </xf>
    <xf numFmtId="0" fontId="0" fillId="0" borderId="0" xfId="0" applyFill="1" applyBorder="1"/>
    <xf numFmtId="0" fontId="14" fillId="0" borderId="1" xfId="0" applyFont="1" applyBorder="1" applyAlignment="1">
      <alignment horizontal="center" vertical="top" wrapText="1"/>
    </xf>
    <xf numFmtId="2" fontId="8" fillId="0" borderId="1" xfId="0" applyNumberFormat="1" applyFont="1" applyFill="1" applyBorder="1"/>
    <xf numFmtId="0" fontId="5" fillId="2" borderId="1" xfId="0" applyFont="1" applyFill="1" applyBorder="1" applyAlignment="1">
      <alignment horizontal="center" vertical="top" wrapText="1"/>
    </xf>
    <xf numFmtId="0" fontId="8" fillId="2" borderId="0" xfId="0" applyFont="1" applyFill="1" applyBorder="1"/>
    <xf numFmtId="0" fontId="5" fillId="0" borderId="2" xfId="0" applyFont="1" applyBorder="1" applyAlignment="1">
      <alignment horizontal="center" vertical="top" wrapText="1"/>
    </xf>
    <xf numFmtId="0" fontId="5" fillId="0" borderId="1" xfId="0" applyFont="1" applyBorder="1" applyAlignment="1">
      <alignment horizontal="center" vertical="top" wrapText="1"/>
    </xf>
    <xf numFmtId="0" fontId="15" fillId="0" borderId="1" xfId="0" applyFont="1" applyFill="1" applyBorder="1"/>
    <xf numFmtId="0" fontId="16" fillId="2" borderId="0" xfId="0" applyFont="1" applyFill="1"/>
    <xf numFmtId="0" fontId="17" fillId="2" borderId="0" xfId="0" applyFont="1" applyFill="1" applyBorder="1" applyAlignment="1">
      <alignment horizontal="left"/>
    </xf>
    <xf numFmtId="0" fontId="4" fillId="0" borderId="0" xfId="0" applyFont="1" applyAlignment="1">
      <alignment vertical="top" wrapText="1"/>
    </xf>
    <xf numFmtId="0" fontId="19" fillId="0" borderId="0" xfId="0" applyFont="1" applyBorder="1"/>
    <xf numFmtId="0" fontId="18" fillId="0" borderId="0" xfId="0" applyFont="1" applyFill="1" applyBorder="1" applyAlignment="1">
      <alignment vertical="top" wrapText="1"/>
    </xf>
    <xf numFmtId="0" fontId="17" fillId="2" borderId="0" xfId="0" applyFont="1" applyFill="1"/>
    <xf numFmtId="0" fontId="4" fillId="3" borderId="1" xfId="0" applyFont="1" applyFill="1" applyBorder="1" applyAlignment="1">
      <alignment vertical="top" wrapText="1"/>
    </xf>
    <xf numFmtId="0" fontId="15" fillId="0" borderId="0" xfId="0" applyFont="1" applyFill="1" applyBorder="1"/>
    <xf numFmtId="0" fontId="8" fillId="0" borderId="0" xfId="0" applyFont="1" applyBorder="1" applyAlignment="1">
      <alignment horizontal="center"/>
    </xf>
    <xf numFmtId="0" fontId="5" fillId="0" borderId="0" xfId="0" applyFont="1" applyBorder="1" applyAlignment="1">
      <alignment horizontal="center" vertical="top" wrapText="1"/>
    </xf>
    <xf numFmtId="0" fontId="20" fillId="0" borderId="0" xfId="0" applyFont="1"/>
    <xf numFmtId="0" fontId="21" fillId="2" borderId="0" xfId="0" quotePrefix="1" applyFont="1" applyFill="1" applyAlignment="1">
      <alignment horizontal="left"/>
    </xf>
    <xf numFmtId="0" fontId="22" fillId="0" borderId="0" xfId="0" applyFont="1"/>
    <xf numFmtId="0" fontId="23" fillId="0" borderId="0" xfId="0" quotePrefix="1" applyFont="1" applyAlignment="1">
      <alignment horizontal="left"/>
    </xf>
    <xf numFmtId="0" fontId="22" fillId="0" borderId="0" xfId="0" quotePrefix="1" applyFont="1" applyAlignment="1">
      <alignment horizontal="left"/>
    </xf>
    <xf numFmtId="0" fontId="28" fillId="0" borderId="0" xfId="0" applyFont="1"/>
    <xf numFmtId="0" fontId="29" fillId="0" borderId="0" xfId="0" applyFont="1"/>
    <xf numFmtId="0" fontId="29" fillId="0" borderId="0" xfId="0" applyFont="1" applyAlignment="1">
      <alignment horizontal="left"/>
    </xf>
    <xf numFmtId="0" fontId="30" fillId="0" borderId="0" xfId="0" applyFont="1"/>
    <xf numFmtId="0" fontId="30" fillId="2" borderId="0" xfId="0" applyFont="1" applyFill="1"/>
    <xf numFmtId="0" fontId="24" fillId="0" borderId="1" xfId="0" applyFont="1" applyBorder="1" applyAlignment="1">
      <alignment horizontal="justify" vertical="top"/>
    </xf>
    <xf numFmtId="0" fontId="24" fillId="0" borderId="1" xfId="0" applyFont="1" applyBorder="1"/>
    <xf numFmtId="0" fontId="24" fillId="0" borderId="1" xfId="0" applyFont="1" applyBorder="1" applyAlignment="1">
      <alignment horizontal="justify" vertical="top" wrapText="1"/>
    </xf>
    <xf numFmtId="2" fontId="30" fillId="0" borderId="0" xfId="0" applyNumberFormat="1" applyFont="1"/>
    <xf numFmtId="0" fontId="29" fillId="0" borderId="1" xfId="0" applyFont="1" applyBorder="1" applyAlignment="1">
      <alignment horizontal="center"/>
    </xf>
    <xf numFmtId="0" fontId="37" fillId="0" borderId="1" xfId="0" applyFont="1" applyBorder="1" applyAlignment="1">
      <alignment horizontal="center"/>
    </xf>
    <xf numFmtId="2" fontId="24" fillId="0" borderId="1" xfId="0" applyNumberFormat="1" applyFont="1" applyBorder="1" applyAlignment="1">
      <alignment horizontal="left"/>
    </xf>
    <xf numFmtId="0" fontId="24" fillId="0" borderId="1" xfId="0" applyFont="1" applyBorder="1" applyAlignment="1">
      <alignment horizontal="left"/>
    </xf>
    <xf numFmtId="165" fontId="24" fillId="0" borderId="1" xfId="0" quotePrefix="1" applyNumberFormat="1" applyFont="1" applyBorder="1" applyAlignment="1">
      <alignment horizontal="left"/>
    </xf>
    <xf numFmtId="1" fontId="24" fillId="0" borderId="1" xfId="0" applyNumberFormat="1" applyFont="1" applyBorder="1" applyAlignment="1">
      <alignment horizontal="left"/>
    </xf>
    <xf numFmtId="0" fontId="25" fillId="0" borderId="1" xfId="0" applyFont="1" applyBorder="1"/>
    <xf numFmtId="0" fontId="26" fillId="0" borderId="1" xfId="0" applyFont="1" applyBorder="1"/>
    <xf numFmtId="0" fontId="29" fillId="0" borderId="1" xfId="0" applyFont="1" applyBorder="1" applyAlignment="1">
      <alignment horizontal="left"/>
    </xf>
    <xf numFmtId="0" fontId="29" fillId="0" borderId="1" xfId="0" applyFont="1" applyBorder="1"/>
    <xf numFmtId="0" fontId="20" fillId="0" borderId="1" xfId="0" applyFont="1" applyBorder="1"/>
    <xf numFmtId="0" fontId="31" fillId="0" borderId="1" xfId="0" applyFont="1" applyBorder="1"/>
    <xf numFmtId="0" fontId="29" fillId="0" borderId="1" xfId="0" applyFont="1" applyBorder="1" applyAlignment="1">
      <alignment horizontal="right"/>
    </xf>
    <xf numFmtId="0" fontId="29" fillId="0" borderId="1" xfId="0" applyFont="1" applyFill="1" applyBorder="1" applyAlignment="1">
      <alignment horizontal="right"/>
    </xf>
    <xf numFmtId="0" fontId="32" fillId="0" borderId="1" xfId="0" applyFont="1" applyBorder="1" applyAlignment="1">
      <alignment horizontal="center"/>
    </xf>
    <xf numFmtId="0" fontId="36" fillId="3" borderId="1" xfId="0" applyFont="1" applyFill="1" applyBorder="1"/>
    <xf numFmtId="2" fontId="29" fillId="0" borderId="1" xfId="0" applyNumberFormat="1" applyFont="1" applyBorder="1" applyAlignment="1">
      <alignment horizontal="left"/>
    </xf>
    <xf numFmtId="0" fontId="36" fillId="0" borderId="1" xfId="0" applyFont="1" applyFill="1" applyBorder="1"/>
    <xf numFmtId="0" fontId="36" fillId="4" borderId="1" xfId="0" applyFont="1" applyFill="1" applyBorder="1"/>
    <xf numFmtId="0" fontId="40" fillId="0" borderId="1" xfId="0" applyFont="1" applyBorder="1"/>
    <xf numFmtId="0" fontId="36" fillId="5" borderId="1" xfId="0" applyFont="1" applyFill="1" applyBorder="1"/>
    <xf numFmtId="2" fontId="29" fillId="0" borderId="1" xfId="0" applyNumberFormat="1" applyFont="1" applyFill="1" applyBorder="1" applyAlignment="1">
      <alignment horizontal="left"/>
    </xf>
    <xf numFmtId="0" fontId="38" fillId="0" borderId="1" xfId="0" applyFont="1" applyBorder="1"/>
    <xf numFmtId="164" fontId="29" fillId="0" borderId="1" xfId="0" applyNumberFormat="1" applyFont="1" applyBorder="1" applyAlignment="1">
      <alignment horizontal="left"/>
    </xf>
    <xf numFmtId="0" fontId="29" fillId="0" borderId="1" xfId="0" applyFont="1" applyFill="1" applyBorder="1"/>
    <xf numFmtId="0" fontId="29" fillId="0" borderId="1" xfId="0" applyFont="1" applyFill="1" applyBorder="1" applyAlignment="1">
      <alignment horizontal="left"/>
    </xf>
    <xf numFmtId="0" fontId="41" fillId="2" borderId="1" xfId="0" applyFont="1" applyFill="1" applyBorder="1"/>
    <xf numFmtId="2" fontId="41" fillId="3" borderId="1" xfId="0" applyNumberFormat="1" applyFont="1" applyFill="1" applyBorder="1" applyAlignment="1">
      <alignment horizontal="left"/>
    </xf>
    <xf numFmtId="0" fontId="41" fillId="3" borderId="1" xfId="0" applyFont="1" applyFill="1" applyBorder="1" applyAlignment="1">
      <alignment horizontal="left"/>
    </xf>
    <xf numFmtId="0" fontId="35" fillId="0" borderId="1" xfId="0" applyFont="1" applyBorder="1"/>
    <xf numFmtId="2" fontId="35" fillId="0" borderId="1" xfId="0" applyNumberFormat="1" applyFont="1" applyBorder="1" applyAlignment="1">
      <alignment horizontal="left"/>
    </xf>
    <xf numFmtId="2" fontId="29" fillId="0" borderId="1" xfId="0" applyNumberFormat="1" applyFont="1" applyBorder="1"/>
    <xf numFmtId="0" fontId="36" fillId="2" borderId="1" xfId="0" applyFont="1" applyFill="1" applyBorder="1"/>
    <xf numFmtId="2" fontId="52" fillId="6" borderId="1" xfId="0" applyNumberFormat="1" applyFont="1" applyFill="1" applyBorder="1" applyAlignment="1">
      <alignment horizontal="left"/>
    </xf>
    <xf numFmtId="0" fontId="29" fillId="2" borderId="1" xfId="0" applyFont="1" applyFill="1" applyBorder="1"/>
    <xf numFmtId="2" fontId="29" fillId="3" borderId="1" xfId="0" applyNumberFormat="1" applyFont="1" applyFill="1" applyBorder="1" applyAlignment="1">
      <alignment horizontal="left"/>
    </xf>
    <xf numFmtId="0" fontId="29" fillId="3" borderId="1" xfId="0" applyFont="1" applyFill="1" applyBorder="1" applyAlignment="1">
      <alignment horizontal="left"/>
    </xf>
    <xf numFmtId="0" fontId="42" fillId="2" borderId="1" xfId="0" applyFont="1" applyFill="1" applyBorder="1"/>
    <xf numFmtId="0" fontId="42" fillId="5" borderId="1" xfId="0" applyFont="1" applyFill="1" applyBorder="1"/>
    <xf numFmtId="0" fontId="32" fillId="0" borderId="1" xfId="0" applyFont="1" applyBorder="1"/>
    <xf numFmtId="0" fontId="29" fillId="0" borderId="1" xfId="0" quotePrefix="1" applyFont="1" applyFill="1" applyBorder="1"/>
    <xf numFmtId="164" fontId="3" fillId="0" borderId="1" xfId="0" applyNumberFormat="1" applyFont="1" applyBorder="1"/>
    <xf numFmtId="2" fontId="52" fillId="0" borderId="1" xfId="0" applyNumberFormat="1" applyFont="1" applyFill="1" applyBorder="1" applyAlignment="1">
      <alignment horizontal="left"/>
    </xf>
    <xf numFmtId="0" fontId="25" fillId="0" borderId="1" xfId="0" applyFont="1" applyFill="1" applyBorder="1"/>
    <xf numFmtId="0" fontId="29" fillId="5" borderId="1" xfId="0" applyFont="1" applyFill="1" applyBorder="1"/>
    <xf numFmtId="2" fontId="29" fillId="6" borderId="1" xfId="0" applyNumberFormat="1" applyFont="1" applyFill="1" applyBorder="1" applyAlignment="1">
      <alignment horizontal="left"/>
    </xf>
    <xf numFmtId="0" fontId="52" fillId="7" borderId="1" xfId="0" applyFont="1" applyFill="1" applyBorder="1"/>
    <xf numFmtId="2" fontId="52" fillId="7" borderId="1" xfId="0" applyNumberFormat="1" applyFont="1" applyFill="1" applyBorder="1"/>
    <xf numFmtId="2" fontId="29" fillId="0" borderId="1" xfId="0" applyNumberFormat="1" applyFont="1" applyBorder="1" applyAlignment="1">
      <alignment horizontal="right"/>
    </xf>
    <xf numFmtId="2" fontId="40" fillId="0" borderId="1" xfId="0" applyNumberFormat="1" applyFont="1" applyBorder="1" applyAlignment="1">
      <alignment horizontal="left"/>
    </xf>
    <xf numFmtId="0" fontId="30" fillId="0" borderId="1" xfId="0" applyFont="1" applyBorder="1"/>
    <xf numFmtId="0" fontId="30" fillId="0" borderId="1" xfId="0" applyFont="1" applyBorder="1" applyAlignment="1">
      <alignment horizontal="left"/>
    </xf>
    <xf numFmtId="0" fontId="0" fillId="0" borderId="1" xfId="0" applyBorder="1" applyAlignment="1">
      <alignment horizontal="left"/>
    </xf>
    <xf numFmtId="0" fontId="36" fillId="2" borderId="1" xfId="0" applyFont="1" applyFill="1" applyBorder="1" applyAlignment="1">
      <alignment horizontal="left"/>
    </xf>
    <xf numFmtId="2" fontId="30" fillId="0" borderId="1" xfId="0" applyNumberFormat="1" applyFont="1" applyBorder="1" applyAlignment="1">
      <alignment horizontal="left"/>
    </xf>
    <xf numFmtId="0" fontId="30" fillId="2" borderId="1" xfId="0" applyFont="1" applyFill="1" applyBorder="1"/>
    <xf numFmtId="165" fontId="30" fillId="2" borderId="1" xfId="0" applyNumberFormat="1" applyFont="1" applyFill="1" applyBorder="1" applyAlignment="1">
      <alignment horizontal="left"/>
    </xf>
    <xf numFmtId="1" fontId="30" fillId="0" borderId="1" xfId="0" applyNumberFormat="1" applyFont="1" applyBorder="1"/>
    <xf numFmtId="1" fontId="29" fillId="0" borderId="1" xfId="0" applyNumberFormat="1" applyFont="1" applyBorder="1" applyAlignment="1">
      <alignment horizontal="left"/>
    </xf>
    <xf numFmtId="2" fontId="30" fillId="2" borderId="1" xfId="0" applyNumberFormat="1" applyFont="1" applyFill="1" applyBorder="1" applyAlignment="1">
      <alignment horizontal="left"/>
    </xf>
    <xf numFmtId="0" fontId="30" fillId="0" borderId="1" xfId="0" applyFont="1" applyFill="1" applyBorder="1"/>
    <xf numFmtId="2" fontId="30" fillId="0" borderId="1" xfId="0" applyNumberFormat="1" applyFont="1" applyFill="1" applyBorder="1" applyAlignment="1">
      <alignment horizontal="left"/>
    </xf>
    <xf numFmtId="0" fontId="20" fillId="0" borderId="1" xfId="0" applyFont="1" applyFill="1" applyBorder="1"/>
    <xf numFmtId="2" fontId="20" fillId="0" borderId="1" xfId="0" applyNumberFormat="1" applyFont="1" applyBorder="1"/>
    <xf numFmtId="0" fontId="25" fillId="0" borderId="1" xfId="0" applyFont="1" applyBorder="1" applyAlignment="1">
      <alignment vertical="top" wrapText="1"/>
    </xf>
    <xf numFmtId="0" fontId="33" fillId="2" borderId="1" xfId="0" applyFont="1" applyFill="1" applyBorder="1" applyAlignment="1">
      <alignment horizontal="right"/>
    </xf>
    <xf numFmtId="0" fontId="33" fillId="2" borderId="1" xfId="0" applyFont="1" applyFill="1" applyBorder="1" applyAlignment="1">
      <alignment horizontal="left"/>
    </xf>
    <xf numFmtId="0" fontId="34" fillId="0" borderId="1" xfId="0" applyFont="1" applyBorder="1"/>
    <xf numFmtId="2" fontId="30" fillId="0" borderId="1" xfId="0" applyNumberFormat="1" applyFont="1" applyBorder="1"/>
    <xf numFmtId="0" fontId="29" fillId="0" borderId="2" xfId="0" applyFont="1" applyBorder="1" applyAlignment="1">
      <alignment horizontal="left"/>
    </xf>
    <xf numFmtId="0" fontId="54" fillId="5" borderId="0" xfId="0" applyFont="1" applyFill="1"/>
    <xf numFmtId="0" fontId="22" fillId="0" borderId="0" xfId="0" applyFont="1" applyFill="1"/>
    <xf numFmtId="0" fontId="11" fillId="0" borderId="0" xfId="0" applyFont="1" applyBorder="1"/>
    <xf numFmtId="0" fontId="4" fillId="0" borderId="0" xfId="0" applyFont="1" applyBorder="1" applyAlignment="1">
      <alignment horizontal="center"/>
    </xf>
    <xf numFmtId="0" fontId="4" fillId="0" borderId="0" xfId="0" applyFont="1" applyBorder="1"/>
    <xf numFmtId="165" fontId="30" fillId="0" borderId="1" xfId="0" applyNumberFormat="1" applyFont="1" applyBorder="1" applyAlignment="1">
      <alignment horizontal="left"/>
    </xf>
    <xf numFmtId="1" fontId="30" fillId="0" borderId="1" xfId="0" applyNumberFormat="1" applyFont="1" applyBorder="1" applyAlignment="1">
      <alignment horizontal="left"/>
    </xf>
    <xf numFmtId="2" fontId="30" fillId="0" borderId="0" xfId="0" applyNumberFormat="1" applyFont="1" applyAlignment="1">
      <alignment horizontal="left"/>
    </xf>
    <xf numFmtId="165" fontId="30" fillId="0" borderId="0" xfId="0" applyNumberFormat="1" applyFont="1" applyAlignment="1">
      <alignment horizontal="left"/>
    </xf>
    <xf numFmtId="1" fontId="30" fillId="0" borderId="0" xfId="0" applyNumberFormat="1" applyFont="1" applyAlignment="1">
      <alignment horizontal="left"/>
    </xf>
    <xf numFmtId="2" fontId="29" fillId="0" borderId="0" xfId="0" applyNumberFormat="1" applyFont="1" applyAlignment="1">
      <alignment horizontal="left"/>
    </xf>
    <xf numFmtId="0" fontId="24" fillId="0" borderId="1" xfId="0" applyFont="1" applyFill="1" applyBorder="1" applyAlignment="1">
      <alignment horizontal="justify" vertical="top"/>
    </xf>
    <xf numFmtId="2" fontId="24" fillId="0" borderId="1" xfId="0" applyNumberFormat="1" applyFont="1" applyFill="1" applyBorder="1" applyAlignment="1">
      <alignment horizontal="left"/>
    </xf>
    <xf numFmtId="0" fontId="27" fillId="0" borderId="2" xfId="0" quotePrefix="1" applyFont="1" applyBorder="1" applyAlignment="1">
      <alignment horizontal="left"/>
    </xf>
    <xf numFmtId="0" fontId="39" fillId="0" borderId="2" xfId="0" applyFont="1" applyBorder="1"/>
    <xf numFmtId="0" fontId="29" fillId="0" borderId="2" xfId="0" quotePrefix="1" applyFont="1" applyBorder="1" applyAlignment="1">
      <alignment horizontal="left"/>
    </xf>
    <xf numFmtId="0" fontId="29" fillId="0" borderId="2" xfId="0" applyFont="1" applyBorder="1"/>
    <xf numFmtId="0" fontId="27" fillId="0" borderId="4" xfId="0" applyFont="1" applyBorder="1"/>
    <xf numFmtId="0" fontId="20" fillId="0" borderId="4" xfId="0" applyFont="1" applyBorder="1"/>
    <xf numFmtId="0" fontId="30" fillId="0" borderId="1" xfId="0" applyFont="1" applyBorder="1" applyAlignment="1">
      <alignment horizontal="center"/>
    </xf>
    <xf numFmtId="2" fontId="25" fillId="0" borderId="1" xfId="0" quotePrefix="1" applyNumberFormat="1" applyFont="1" applyBorder="1" applyAlignment="1">
      <alignment horizontal="center"/>
    </xf>
    <xf numFmtId="0" fontId="12" fillId="0" borderId="1" xfId="0" applyFont="1" applyBorder="1" applyAlignment="1">
      <alignment horizontal="right"/>
    </xf>
    <xf numFmtId="0" fontId="12" fillId="0" borderId="1" xfId="0" applyFont="1" applyBorder="1" applyAlignment="1">
      <alignment horizontal="right" vertical="top" wrapText="1"/>
    </xf>
    <xf numFmtId="0" fontId="3" fillId="0" borderId="1" xfId="0" applyFont="1" applyBorder="1" applyAlignment="1">
      <alignment horizontal="right"/>
    </xf>
    <xf numFmtId="0" fontId="10" fillId="0" borderId="2" xfId="0" applyFont="1" applyBorder="1" applyAlignment="1">
      <alignment horizontal="right" vertical="top" wrapText="1"/>
    </xf>
    <xf numFmtId="0" fontId="4" fillId="3" borderId="1" xfId="0" applyFont="1" applyFill="1" applyBorder="1" applyAlignment="1">
      <alignment horizontal="right" vertical="top" wrapText="1"/>
    </xf>
    <xf numFmtId="0" fontId="8" fillId="2" borderId="1" xfId="0" applyFont="1" applyFill="1" applyBorder="1" applyAlignment="1">
      <alignment horizontal="center" vertical="top" wrapText="1"/>
    </xf>
    <xf numFmtId="0" fontId="0" fillId="3" borderId="0" xfId="0" applyFill="1"/>
    <xf numFmtId="164" fontId="29" fillId="0" borderId="1" xfId="0" applyNumberFormat="1" applyFont="1" applyFill="1" applyBorder="1" applyAlignment="1">
      <alignment horizontal="left"/>
    </xf>
    <xf numFmtId="0" fontId="0" fillId="0" borderId="0" xfId="0" applyBorder="1" applyAlignment="1">
      <alignment horizontal="center"/>
    </xf>
    <xf numFmtId="0" fontId="8" fillId="0" borderId="0" xfId="0" applyFont="1" applyBorder="1" applyAlignment="1">
      <alignment vertical="top" wrapText="1"/>
    </xf>
    <xf numFmtId="0" fontId="8" fillId="2" borderId="1" xfId="0" applyFont="1" applyFill="1" applyBorder="1" applyAlignment="1">
      <alignment vertical="top" wrapText="1"/>
    </xf>
    <xf numFmtId="0" fontId="8" fillId="8" borderId="1" xfId="0" applyFont="1" applyFill="1" applyBorder="1" applyAlignment="1">
      <alignment vertical="top" wrapText="1"/>
    </xf>
    <xf numFmtId="0" fontId="5" fillId="0" borderId="1" xfId="0" applyFont="1" applyBorder="1"/>
    <xf numFmtId="164" fontId="5" fillId="0" borderId="1" xfId="0" applyNumberFormat="1" applyFont="1" applyFill="1" applyBorder="1"/>
    <xf numFmtId="0" fontId="5" fillId="0" borderId="1" xfId="0" applyFont="1" applyFill="1" applyBorder="1"/>
    <xf numFmtId="0" fontId="5" fillId="0" borderId="0" xfId="0" applyFont="1" applyFill="1" applyBorder="1"/>
    <xf numFmtId="0" fontId="8" fillId="0" borderId="1" xfId="0" applyFont="1" applyFill="1" applyBorder="1"/>
    <xf numFmtId="0" fontId="14" fillId="0" borderId="1" xfId="0" applyFont="1" applyBorder="1"/>
    <xf numFmtId="0" fontId="5" fillId="0" borderId="0" xfId="0" applyFont="1" applyBorder="1"/>
    <xf numFmtId="2" fontId="5" fillId="0" borderId="0" xfId="0" applyNumberFormat="1" applyFont="1" applyBorder="1"/>
    <xf numFmtId="0" fontId="5" fillId="9" borderId="1" xfId="0" applyFont="1" applyFill="1" applyBorder="1" applyAlignment="1">
      <alignment horizontal="right"/>
    </xf>
    <xf numFmtId="0" fontId="5" fillId="9" borderId="1" xfId="0" applyFont="1" applyFill="1" applyBorder="1"/>
    <xf numFmtId="2" fontId="8" fillId="9" borderId="1" xfId="0" applyNumberFormat="1" applyFont="1" applyFill="1" applyBorder="1"/>
    <xf numFmtId="2" fontId="5" fillId="9" borderId="0" xfId="0" applyNumberFormat="1" applyFont="1" applyFill="1" applyBorder="1"/>
    <xf numFmtId="164" fontId="5" fillId="9" borderId="1" xfId="0" applyNumberFormat="1" applyFont="1" applyFill="1" applyBorder="1"/>
    <xf numFmtId="0" fontId="5" fillId="9" borderId="0" xfId="0" applyFont="1" applyFill="1" applyBorder="1"/>
    <xf numFmtId="2" fontId="5" fillId="9" borderId="1" xfId="0" applyNumberFormat="1" applyFont="1" applyFill="1" applyBorder="1"/>
    <xf numFmtId="0" fontId="17" fillId="0" borderId="0" xfId="0" applyFont="1" applyAlignment="1">
      <alignment vertical="top"/>
    </xf>
    <xf numFmtId="0" fontId="55" fillId="0" borderId="1" xfId="0" applyFont="1" applyBorder="1" applyAlignment="1">
      <alignment horizontal="center"/>
    </xf>
    <xf numFmtId="0" fontId="56" fillId="0" borderId="1" xfId="0" applyFont="1" applyFill="1" applyBorder="1"/>
    <xf numFmtId="2" fontId="17" fillId="0" borderId="1" xfId="0" applyNumberFormat="1" applyFont="1" applyFill="1" applyBorder="1"/>
    <xf numFmtId="0" fontId="21" fillId="2" borderId="0" xfId="0" applyFont="1" applyFill="1" applyAlignment="1">
      <alignment horizontal="left"/>
    </xf>
    <xf numFmtId="0" fontId="58" fillId="0" borderId="0" xfId="0" applyFont="1"/>
    <xf numFmtId="0" fontId="57" fillId="0" borderId="0" xfId="0" applyFont="1" applyBorder="1" applyAlignment="1">
      <alignment horizontal="left"/>
    </xf>
    <xf numFmtId="0" fontId="29" fillId="0" borderId="0" xfId="0" applyFont="1" applyBorder="1"/>
    <xf numFmtId="0" fontId="59" fillId="0" borderId="0" xfId="0" applyFont="1" applyBorder="1" applyAlignment="1">
      <alignment horizontal="left"/>
    </xf>
    <xf numFmtId="0" fontId="59" fillId="0" borderId="0" xfId="0" applyFont="1" applyBorder="1"/>
    <xf numFmtId="0" fontId="59" fillId="0" borderId="0" xfId="0" applyFont="1" applyBorder="1" applyAlignment="1">
      <alignment horizontal="right"/>
    </xf>
    <xf numFmtId="0" fontId="59" fillId="0" borderId="0" xfId="0" applyFont="1" applyBorder="1" applyAlignment="1">
      <alignment horizontal="left" wrapText="1"/>
    </xf>
    <xf numFmtId="0" fontId="59" fillId="0" borderId="0" xfId="0" applyFont="1" applyBorder="1" applyAlignment="1">
      <alignment horizontal="right" vertical="top"/>
    </xf>
    <xf numFmtId="2" fontId="59" fillId="0" borderId="0" xfId="0" applyNumberFormat="1" applyFont="1" applyBorder="1" applyAlignment="1">
      <alignment horizontal="left" vertical="top" wrapText="1"/>
    </xf>
    <xf numFmtId="1" fontId="59" fillId="0" borderId="0" xfId="0" applyNumberFormat="1" applyFont="1" applyBorder="1" applyAlignment="1">
      <alignment horizontal="right" vertical="top"/>
    </xf>
    <xf numFmtId="1" fontId="59" fillId="0" borderId="0" xfId="0" applyNumberFormat="1" applyFont="1" applyBorder="1" applyAlignment="1">
      <alignment horizontal="right"/>
    </xf>
    <xf numFmtId="0" fontId="60" fillId="0" borderId="0" xfId="0" applyFont="1"/>
    <xf numFmtId="0" fontId="3" fillId="0" borderId="0" xfId="0" applyNumberFormat="1" applyFont="1" applyAlignment="1">
      <alignment vertical="top" wrapText="1"/>
    </xf>
    <xf numFmtId="0" fontId="0" fillId="0" borderId="0" xfId="0" applyNumberFormat="1" applyAlignment="1">
      <alignment vertical="top" wrapText="1"/>
    </xf>
    <xf numFmtId="0" fontId="0" fillId="0" borderId="10" xfId="0" applyNumberFormat="1" applyBorder="1" applyAlignment="1">
      <alignment vertical="top" wrapText="1"/>
    </xf>
    <xf numFmtId="0" fontId="0" fillId="0" borderId="9" xfId="0" applyNumberFormat="1" applyBorder="1" applyAlignment="1">
      <alignment vertical="top" wrapText="1"/>
    </xf>
    <xf numFmtId="0" fontId="0" fillId="0" borderId="7" xfId="0" applyNumberFormat="1" applyBorder="1" applyAlignment="1">
      <alignment vertical="top" wrapText="1"/>
    </xf>
    <xf numFmtId="0" fontId="0" fillId="0" borderId="13" xfId="0" applyNumberFormat="1" applyBorder="1" applyAlignment="1">
      <alignment vertical="top" wrapText="1"/>
    </xf>
    <xf numFmtId="0" fontId="0" fillId="0" borderId="12" xfId="0" applyNumberFormat="1" applyBorder="1" applyAlignment="1">
      <alignment vertical="top" wrapText="1"/>
    </xf>
    <xf numFmtId="0" fontId="3"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9" xfId="0" applyNumberFormat="1" applyBorder="1" applyAlignment="1">
      <alignment horizontal="center" vertical="top" wrapText="1"/>
    </xf>
    <xf numFmtId="0" fontId="0" fillId="0" borderId="11" xfId="0" applyNumberFormat="1" applyBorder="1" applyAlignment="1">
      <alignment horizontal="center" vertical="top" wrapText="1"/>
    </xf>
    <xf numFmtId="0" fontId="61" fillId="0" borderId="0" xfId="1" quotePrefix="1" applyNumberFormat="1" applyAlignment="1">
      <alignment horizontal="center" vertical="top" wrapText="1"/>
    </xf>
    <xf numFmtId="0" fontId="0" fillId="0" borderId="8" xfId="0" applyNumberFormat="1" applyBorder="1" applyAlignment="1">
      <alignment horizontal="center" vertical="top" wrapText="1"/>
    </xf>
    <xf numFmtId="0" fontId="0" fillId="0" borderId="12" xfId="0" applyNumberFormat="1" applyBorder="1" applyAlignment="1">
      <alignment horizontal="center" vertical="top" wrapText="1"/>
    </xf>
    <xf numFmtId="0" fontId="0" fillId="0" borderId="14" xfId="0" applyNumberFormat="1" applyBorder="1" applyAlignment="1">
      <alignment horizontal="center" vertical="top" wrapText="1"/>
    </xf>
    <xf numFmtId="0" fontId="4" fillId="0" borderId="0" xfId="0" applyFont="1" applyBorder="1" applyAlignment="1">
      <alignment horizontal="center"/>
    </xf>
    <xf numFmtId="0" fontId="7" fillId="0" borderId="0" xfId="0" applyFont="1" applyBorder="1" applyAlignment="1">
      <alignment horizontal="right"/>
    </xf>
    <xf numFmtId="0" fontId="8" fillId="0" borderId="0" xfId="0" applyFont="1" applyBorder="1" applyAlignment="1">
      <alignment horizontal="center"/>
    </xf>
    <xf numFmtId="0" fontId="7" fillId="0" borderId="0" xfId="0" applyFont="1" applyBorder="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Drop" dropStyle="combo" dx="31" fmlaLink="B7" fmlaRange="'DATA BANK'!$B$157:$B$172" noThreeD="1" sel="1" val="0"/>
</file>

<file path=xl/ctrlProps/ctrlProp2.xml><?xml version="1.0" encoding="utf-8"?>
<formControlPr xmlns="http://schemas.microsoft.com/office/spreadsheetml/2009/9/main" objectType="Drop" dropLines="9" dropStyle="combo" dx="31" fmlaLink="B20" fmlaRange="'DATA BANK'!$A$35:$A$39" noThreeD="1" sel="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57150</xdr:colOff>
          <xdr:row>6</xdr:row>
          <xdr:rowOff>6350</xdr:rowOff>
        </xdr:from>
        <xdr:to>
          <xdr:col>2</xdr:col>
          <xdr:colOff>12700</xdr:colOff>
          <xdr:row>6</xdr:row>
          <xdr:rowOff>228600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19</xdr:row>
          <xdr:rowOff>12700</xdr:rowOff>
        </xdr:from>
        <xdr:to>
          <xdr:col>2</xdr:col>
          <xdr:colOff>19050</xdr:colOff>
          <xdr:row>19</xdr:row>
          <xdr:rowOff>209550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3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3E77-3ACE-40B9-9713-640B292D09EC}">
  <sheetPr codeName="Sheet10"/>
  <dimension ref="A2:I26"/>
  <sheetViews>
    <sheetView workbookViewId="0">
      <selection activeCell="G12" sqref="G12"/>
    </sheetView>
  </sheetViews>
  <sheetFormatPr defaultRowHeight="12.5"/>
  <cols>
    <col min="2" max="2" width="16.54296875" customWidth="1"/>
    <col min="3" max="3" width="12" customWidth="1"/>
    <col min="5" max="5" width="11.81640625" customWidth="1"/>
    <col min="6" max="6" width="9.81640625" customWidth="1"/>
    <col min="7" max="7" width="10.26953125" customWidth="1"/>
  </cols>
  <sheetData>
    <row r="2" spans="1:9" ht="18">
      <c r="B2" s="40" t="s">
        <v>66</v>
      </c>
      <c r="C2" s="176"/>
      <c r="D2" s="176"/>
      <c r="E2" s="176"/>
      <c r="F2" s="39"/>
      <c r="G2" s="39"/>
    </row>
    <row r="3" spans="1:9" ht="15.5">
      <c r="E3" s="38"/>
      <c r="F3" s="39"/>
    </row>
    <row r="4" spans="1:9" ht="52">
      <c r="A4" s="34" t="s">
        <v>41</v>
      </c>
      <c r="B4" s="35" t="s">
        <v>42</v>
      </c>
      <c r="C4" s="37" t="s">
        <v>341</v>
      </c>
      <c r="D4" s="34" t="s">
        <v>43</v>
      </c>
      <c r="E4" s="37" t="s">
        <v>44</v>
      </c>
      <c r="F4" s="36" t="s">
        <v>45</v>
      </c>
      <c r="G4" s="37" t="s">
        <v>47</v>
      </c>
      <c r="H4" s="36" t="s">
        <v>46</v>
      </c>
      <c r="I4" s="36" t="s">
        <v>343</v>
      </c>
    </row>
    <row r="5" spans="1:9" ht="15.5">
      <c r="A5" s="9">
        <v>1</v>
      </c>
      <c r="B5" s="32" t="s">
        <v>356</v>
      </c>
      <c r="C5" s="33">
        <v>1500</v>
      </c>
      <c r="D5" s="33">
        <v>7</v>
      </c>
      <c r="E5" s="33">
        <v>60</v>
      </c>
      <c r="F5" s="33">
        <v>2.5</v>
      </c>
      <c r="G5" s="33">
        <v>3</v>
      </c>
      <c r="H5" s="33" t="s">
        <v>333</v>
      </c>
      <c r="I5" s="33">
        <f>POWER!B144</f>
        <v>110</v>
      </c>
    </row>
    <row r="6" spans="1:9" ht="15.5">
      <c r="A6" s="9"/>
      <c r="B6" s="9"/>
      <c r="C6" s="9"/>
      <c r="D6" s="9"/>
      <c r="E6" s="9"/>
      <c r="F6" s="9"/>
      <c r="G6" s="9"/>
      <c r="H6" s="9"/>
      <c r="I6" s="33">
        <f>POWER!B140</f>
        <v>95.453870739134302</v>
      </c>
    </row>
    <row r="7" spans="1:9">
      <c r="A7" s="178"/>
      <c r="B7" s="178"/>
      <c r="C7" s="178"/>
      <c r="D7" s="178"/>
      <c r="E7" s="178"/>
      <c r="F7" s="178"/>
      <c r="G7" s="178"/>
      <c r="H7" s="178"/>
    </row>
    <row r="8" spans="1:9">
      <c r="A8" s="178"/>
      <c r="B8" s="178"/>
      <c r="C8" s="178"/>
      <c r="D8" s="178"/>
      <c r="E8" s="178"/>
      <c r="F8" s="178"/>
      <c r="G8" s="178"/>
      <c r="H8" s="178"/>
    </row>
    <row r="9" spans="1:9">
      <c r="A9" s="178"/>
      <c r="B9" s="178"/>
      <c r="C9" s="178"/>
      <c r="D9" s="178"/>
      <c r="E9" s="178"/>
      <c r="F9" s="178"/>
      <c r="G9" s="178"/>
      <c r="H9" s="178"/>
    </row>
    <row r="10" spans="1:9">
      <c r="A10" s="178"/>
      <c r="B10" s="178"/>
      <c r="C10" s="178" t="s">
        <v>353</v>
      </c>
      <c r="D10" s="178"/>
      <c r="E10" s="178"/>
      <c r="F10" s="178"/>
      <c r="G10" s="178"/>
      <c r="H10" s="178"/>
    </row>
    <row r="11" spans="1:9">
      <c r="A11" s="8"/>
      <c r="B11" s="8"/>
      <c r="C11" s="8"/>
      <c r="D11" s="8"/>
      <c r="E11" s="8"/>
      <c r="F11" s="8"/>
      <c r="G11" s="8"/>
      <c r="H11" s="8"/>
      <c r="I11" s="8"/>
    </row>
    <row r="12" spans="1:9">
      <c r="A12" s="8"/>
      <c r="B12" s="8"/>
      <c r="C12" s="8" t="s">
        <v>352</v>
      </c>
      <c r="D12" s="8"/>
      <c r="E12" s="8"/>
      <c r="F12" s="8"/>
      <c r="G12" s="8"/>
      <c r="H12" s="8"/>
    </row>
    <row r="13" spans="1:9">
      <c r="A13" s="8"/>
      <c r="B13" s="8"/>
      <c r="C13" s="8"/>
      <c r="D13" s="8"/>
      <c r="E13" s="8"/>
      <c r="F13" s="8"/>
      <c r="G13" s="8"/>
      <c r="H13" s="8"/>
    </row>
    <row r="14" spans="1:9">
      <c r="A14" s="8"/>
      <c r="B14" s="8"/>
      <c r="C14" s="8"/>
      <c r="D14" s="8"/>
      <c r="E14" s="8"/>
      <c r="F14" s="8"/>
      <c r="G14" s="8"/>
      <c r="H14" s="8"/>
    </row>
    <row r="15" spans="1:9">
      <c r="A15" s="8"/>
      <c r="B15" s="8"/>
      <c r="C15" s="8"/>
      <c r="D15" s="8"/>
      <c r="E15" s="8"/>
      <c r="F15" s="8"/>
      <c r="G15" s="8"/>
      <c r="H15" s="8"/>
    </row>
    <row r="16" spans="1:9">
      <c r="A16" s="8"/>
      <c r="B16" s="8"/>
      <c r="C16" s="8"/>
      <c r="D16" s="8"/>
      <c r="E16" s="8"/>
      <c r="F16" s="8"/>
      <c r="G16" s="8"/>
      <c r="H16" s="8"/>
    </row>
    <row r="17" spans="1:8">
      <c r="A17" s="8"/>
      <c r="B17" s="8"/>
      <c r="C17" s="8"/>
      <c r="D17" s="8"/>
      <c r="E17" s="8"/>
      <c r="F17" s="47"/>
      <c r="G17" s="8"/>
      <c r="H17" s="47"/>
    </row>
    <row r="18" spans="1:8">
      <c r="A18" s="8"/>
      <c r="B18" s="8"/>
      <c r="C18" s="8"/>
      <c r="D18" s="8"/>
      <c r="E18" s="8"/>
      <c r="F18" s="8"/>
      <c r="G18" s="8"/>
      <c r="H18" s="8"/>
    </row>
    <row r="19" spans="1:8">
      <c r="A19" s="8"/>
      <c r="B19" s="8"/>
      <c r="C19" s="8"/>
      <c r="D19" s="8"/>
      <c r="E19" s="8"/>
      <c r="F19" s="8"/>
      <c r="G19" s="8"/>
      <c r="H19" s="8"/>
    </row>
    <row r="20" spans="1:8">
      <c r="A20" s="8"/>
      <c r="B20" s="8"/>
      <c r="C20" s="8"/>
      <c r="D20" s="8"/>
      <c r="E20" s="8"/>
      <c r="F20" s="8"/>
      <c r="G20" s="8"/>
      <c r="H20" s="8"/>
    </row>
    <row r="21" spans="1:8">
      <c r="A21" s="8"/>
      <c r="B21" s="8"/>
      <c r="C21" s="8"/>
      <c r="D21" s="8"/>
      <c r="E21" s="8"/>
      <c r="F21" s="8"/>
      <c r="G21" s="8"/>
      <c r="H21" s="8"/>
    </row>
    <row r="22" spans="1:8">
      <c r="A22" s="8"/>
      <c r="B22" s="8"/>
      <c r="C22" s="8"/>
      <c r="D22" s="8"/>
      <c r="E22" s="8"/>
      <c r="F22" s="8"/>
      <c r="G22" s="8"/>
      <c r="H22" s="8"/>
    </row>
    <row r="23" spans="1:8">
      <c r="A23" s="8"/>
      <c r="B23" s="8"/>
      <c r="C23" s="8"/>
      <c r="D23" s="8"/>
      <c r="E23" s="8"/>
      <c r="F23" s="8"/>
      <c r="G23" s="8"/>
      <c r="H23" s="8"/>
    </row>
    <row r="24" spans="1:8">
      <c r="A24" s="8"/>
      <c r="B24" s="8"/>
      <c r="C24" s="8"/>
      <c r="D24" s="8"/>
      <c r="E24" s="8"/>
      <c r="F24" s="8"/>
      <c r="G24" s="8"/>
      <c r="H24" s="8"/>
    </row>
    <row r="25" spans="1:8">
      <c r="A25" s="8"/>
      <c r="B25" s="8"/>
      <c r="C25" s="8"/>
      <c r="D25" s="8"/>
      <c r="E25" s="8"/>
      <c r="F25" s="8"/>
      <c r="G25" s="8"/>
      <c r="H25" s="8"/>
    </row>
    <row r="26" spans="1:8">
      <c r="A26" s="8"/>
      <c r="B26" s="8"/>
      <c r="C26" s="8"/>
      <c r="D26" s="8"/>
      <c r="E26" s="8"/>
      <c r="F26" s="8"/>
      <c r="G26" s="8"/>
      <c r="H26" s="8"/>
    </row>
  </sheetData>
  <phoneticPr fontId="0" type="noConversion"/>
  <pageMargins left="0.75" right="0.75" top="1" bottom="1" header="0.5" footer="0.5"/>
  <pageSetup scale="8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312AB-2729-4767-AE1C-630D657A050C}">
  <dimension ref="A2:AA205"/>
  <sheetViews>
    <sheetView zoomScale="85" zoomScaleNormal="85" workbookViewId="0">
      <selection activeCell="H7" sqref="H7"/>
    </sheetView>
  </sheetViews>
  <sheetFormatPr defaultRowHeight="12.5"/>
  <cols>
    <col min="1" max="1" width="19.453125" customWidth="1"/>
    <col min="2" max="2" width="17.453125" customWidth="1"/>
    <col min="3" max="3" width="12.81640625" customWidth="1"/>
    <col min="4" max="4" width="13.7265625" customWidth="1"/>
    <col min="5" max="5" width="10.81640625" customWidth="1"/>
    <col min="6" max="6" width="16.81640625" customWidth="1"/>
    <col min="7" max="7" width="18.36328125" customWidth="1"/>
    <col min="8" max="8" width="14" customWidth="1"/>
    <col min="9" max="9" width="12.453125" customWidth="1"/>
    <col min="11" max="11" width="12.7265625" customWidth="1"/>
    <col min="13" max="13" width="13.453125" customWidth="1"/>
  </cols>
  <sheetData>
    <row r="2" spans="1:27" ht="15.5">
      <c r="A2" s="51" t="s">
        <v>75</v>
      </c>
      <c r="B2" s="42"/>
      <c r="C2" s="42"/>
      <c r="D2" s="42"/>
      <c r="E2" s="42"/>
      <c r="F2" s="42"/>
      <c r="G2" s="42"/>
      <c r="H2" s="42"/>
    </row>
    <row r="4" spans="1:27" ht="39">
      <c r="A4" s="15" t="s">
        <v>79</v>
      </c>
      <c r="B4" s="15" t="s">
        <v>76</v>
      </c>
      <c r="C4" s="15" t="s">
        <v>77</v>
      </c>
      <c r="D4" s="15" t="s">
        <v>78</v>
      </c>
    </row>
    <row r="5" spans="1:27" ht="15.5">
      <c r="A5" s="14"/>
      <c r="B5" s="14"/>
      <c r="C5" s="14"/>
      <c r="D5" s="14"/>
      <c r="G5" s="229"/>
      <c r="H5" s="229"/>
      <c r="I5" s="232"/>
      <c r="J5" s="232"/>
      <c r="K5" s="3"/>
      <c r="L5" s="3"/>
      <c r="M5" s="231"/>
      <c r="N5" s="231"/>
      <c r="O5" s="231"/>
      <c r="P5" s="231"/>
      <c r="Q5" s="231"/>
      <c r="R5" s="231"/>
      <c r="S5" s="231"/>
      <c r="T5" s="231"/>
      <c r="U5" s="231"/>
      <c r="V5" s="231"/>
      <c r="W5" s="3"/>
      <c r="X5" s="2"/>
      <c r="Y5" s="2"/>
      <c r="Z5" s="2"/>
      <c r="AA5" s="2"/>
    </row>
    <row r="6" spans="1:27" ht="15.5">
      <c r="A6" s="17">
        <v>650</v>
      </c>
      <c r="B6" s="18">
        <v>101.6</v>
      </c>
      <c r="C6" s="17">
        <v>39</v>
      </c>
      <c r="D6" s="17">
        <v>74</v>
      </c>
      <c r="G6" s="153"/>
      <c r="H6" s="153"/>
      <c r="I6" s="229"/>
      <c r="J6" s="229"/>
      <c r="K6" s="153"/>
      <c r="L6" s="3"/>
      <c r="M6" s="3"/>
      <c r="N6" s="229"/>
      <c r="O6" s="229"/>
      <c r="P6" s="229"/>
      <c r="Q6" s="229"/>
      <c r="R6" s="229"/>
      <c r="S6" s="229"/>
      <c r="T6" s="229"/>
      <c r="U6" s="229"/>
      <c r="V6" s="229"/>
      <c r="W6" s="3"/>
      <c r="X6" s="2"/>
      <c r="Y6" s="2"/>
      <c r="Z6" s="2"/>
      <c r="AA6" s="2"/>
    </row>
    <row r="7" spans="1:27" ht="15.5">
      <c r="A7" s="17">
        <v>650</v>
      </c>
      <c r="B7" s="18">
        <v>114.3</v>
      </c>
      <c r="C7" s="17">
        <v>46</v>
      </c>
      <c r="D7" s="17">
        <v>94</v>
      </c>
      <c r="G7" s="13" t="s">
        <v>376</v>
      </c>
      <c r="H7" s="13" cm="1">
        <f t="array" ref="H7:H10">_xlfn._xlws.FILTER($B$6:$B$26,$A$6:$A$26=POWER!B12)</f>
        <v>114.3</v>
      </c>
      <c r="I7" s="232"/>
      <c r="J7" s="232"/>
      <c r="K7" s="3"/>
      <c r="L7" s="3"/>
      <c r="M7" s="153"/>
      <c r="N7" s="152"/>
      <c r="O7" s="152"/>
      <c r="P7" s="152"/>
      <c r="Q7" s="152"/>
      <c r="R7" s="152"/>
      <c r="S7" s="152"/>
      <c r="T7" s="152"/>
      <c r="U7" s="152"/>
      <c r="V7" s="152"/>
      <c r="W7" s="3"/>
      <c r="X7" s="2"/>
      <c r="Y7" s="2"/>
      <c r="Z7" s="2"/>
      <c r="AA7" s="2"/>
    </row>
    <row r="8" spans="1:27" ht="15.5">
      <c r="A8" s="17">
        <v>650</v>
      </c>
      <c r="B8" s="18">
        <v>127</v>
      </c>
      <c r="C8" s="17">
        <v>49</v>
      </c>
      <c r="D8" s="17">
        <v>101</v>
      </c>
      <c r="G8" s="13"/>
      <c r="H8" s="13">
        <v>127</v>
      </c>
      <c r="I8" s="229"/>
      <c r="J8" s="229"/>
      <c r="K8" s="153"/>
      <c r="L8" s="3"/>
      <c r="M8" s="152"/>
      <c r="N8" s="13"/>
      <c r="O8" s="13"/>
      <c r="P8" s="13"/>
      <c r="Q8" s="13"/>
      <c r="R8" s="13"/>
      <c r="S8" s="13"/>
      <c r="T8" s="13"/>
      <c r="U8" s="13"/>
      <c r="V8" s="13"/>
      <c r="W8" s="3"/>
      <c r="X8" s="2"/>
      <c r="Y8" s="2"/>
      <c r="Z8" s="2"/>
      <c r="AA8" s="2"/>
    </row>
    <row r="9" spans="1:27" ht="15.5">
      <c r="A9" s="18"/>
      <c r="B9" s="18"/>
      <c r="C9" s="18"/>
      <c r="D9" s="18"/>
      <c r="G9" s="13"/>
      <c r="H9" s="13">
        <v>139.69999999999999</v>
      </c>
      <c r="I9" s="3"/>
      <c r="J9" s="3"/>
      <c r="K9" s="3"/>
      <c r="L9" s="3"/>
      <c r="M9" s="152"/>
      <c r="N9" s="13"/>
      <c r="O9" s="13"/>
      <c r="P9" s="13"/>
      <c r="Q9" s="13"/>
      <c r="R9" s="13"/>
      <c r="S9" s="13"/>
      <c r="T9" s="13"/>
      <c r="U9" s="13"/>
      <c r="V9" s="13"/>
      <c r="W9" s="3"/>
      <c r="X9" s="2"/>
      <c r="Y9" s="2"/>
      <c r="Z9" s="2"/>
      <c r="AA9" s="2"/>
    </row>
    <row r="10" spans="1:27" ht="15.5">
      <c r="A10" s="18">
        <v>800</v>
      </c>
      <c r="B10" s="18">
        <v>114.3</v>
      </c>
      <c r="C10" s="18">
        <v>76</v>
      </c>
      <c r="D10" s="17">
        <v>151</v>
      </c>
      <c r="G10" s="13"/>
      <c r="H10" s="13">
        <v>152.4</v>
      </c>
      <c r="I10" s="230"/>
      <c r="J10" s="230"/>
      <c r="K10" s="3"/>
      <c r="L10" s="3"/>
      <c r="M10" s="152"/>
      <c r="N10" s="13"/>
      <c r="O10" s="13"/>
      <c r="P10" s="13"/>
      <c r="Q10" s="13"/>
      <c r="R10" s="13"/>
      <c r="S10" s="13"/>
      <c r="T10" s="13"/>
      <c r="U10" s="13"/>
      <c r="V10" s="13"/>
      <c r="W10" s="3"/>
      <c r="X10" s="2"/>
      <c r="Y10" s="2"/>
      <c r="Z10" s="2"/>
      <c r="AA10" s="2"/>
    </row>
    <row r="11" spans="1:27" ht="15.5">
      <c r="A11" s="18">
        <v>800</v>
      </c>
      <c r="B11" s="18">
        <v>127</v>
      </c>
      <c r="C11" s="18">
        <v>78</v>
      </c>
      <c r="D11" s="18">
        <v>162</v>
      </c>
      <c r="G11" s="3"/>
      <c r="H11" s="13"/>
      <c r="I11" s="230"/>
      <c r="J11" s="230"/>
      <c r="K11" s="3"/>
      <c r="L11" s="3"/>
      <c r="M11" s="152"/>
      <c r="N11" s="13"/>
      <c r="O11" s="13"/>
      <c r="P11" s="13"/>
      <c r="Q11" s="13"/>
      <c r="R11" s="13"/>
      <c r="S11" s="13"/>
      <c r="T11" s="13"/>
      <c r="U11" s="13"/>
      <c r="V11" s="13"/>
      <c r="W11" s="3"/>
      <c r="X11" s="2"/>
      <c r="Y11" s="2"/>
      <c r="Z11" s="2"/>
      <c r="AA11" s="2"/>
    </row>
    <row r="12" spans="1:27" ht="15.5">
      <c r="A12" s="18">
        <v>800</v>
      </c>
      <c r="B12" s="18">
        <v>139.69999999999999</v>
      </c>
      <c r="C12" s="18">
        <v>79</v>
      </c>
      <c r="D12" s="18">
        <v>176</v>
      </c>
      <c r="G12" s="3"/>
      <c r="H12" s="13"/>
      <c r="I12" s="229"/>
      <c r="J12" s="229"/>
      <c r="K12" s="153"/>
      <c r="L12" s="3"/>
      <c r="M12" s="152"/>
      <c r="N12" s="3"/>
      <c r="O12" s="3"/>
      <c r="P12" s="3"/>
      <c r="Q12" s="3"/>
      <c r="R12" s="3"/>
      <c r="S12" s="3"/>
      <c r="T12" s="3"/>
      <c r="U12" s="3"/>
      <c r="V12" s="3"/>
      <c r="W12" s="3"/>
      <c r="X12" s="2"/>
      <c r="Y12" s="2"/>
      <c r="Z12" s="2"/>
      <c r="AA12" s="2"/>
    </row>
    <row r="13" spans="1:27" ht="15.5">
      <c r="A13" s="18">
        <v>800</v>
      </c>
      <c r="B13" s="18">
        <v>152.4</v>
      </c>
      <c r="C13" s="18">
        <v>111</v>
      </c>
      <c r="D13" s="18">
        <v>194</v>
      </c>
      <c r="G13" s="3"/>
      <c r="H13" s="13"/>
      <c r="I13" s="229"/>
      <c r="J13" s="229"/>
      <c r="K13" s="153"/>
      <c r="L13" s="3"/>
      <c r="M13" s="153"/>
      <c r="N13" s="3"/>
      <c r="O13" s="3"/>
      <c r="P13" s="3"/>
      <c r="Q13" s="3"/>
      <c r="R13" s="3"/>
      <c r="S13" s="3"/>
      <c r="T13" s="3"/>
      <c r="U13" s="3"/>
      <c r="V13" s="3"/>
      <c r="W13" s="3"/>
      <c r="X13" s="2"/>
      <c r="Y13" s="2"/>
      <c r="Z13" s="2"/>
      <c r="AA13" s="2"/>
    </row>
    <row r="14" spans="1:27" ht="15.5">
      <c r="A14" s="4"/>
      <c r="B14" s="18"/>
      <c r="C14" s="18"/>
      <c r="D14" s="18"/>
      <c r="G14" s="3"/>
      <c r="H14" s="13"/>
      <c r="I14" s="3"/>
      <c r="J14" s="3"/>
      <c r="K14" s="3"/>
      <c r="L14" s="3"/>
      <c r="M14" s="153"/>
      <c r="N14" s="3"/>
      <c r="O14" s="3"/>
      <c r="P14" s="3"/>
      <c r="Q14" s="3"/>
      <c r="R14" s="3"/>
      <c r="S14" s="3"/>
      <c r="T14" s="3"/>
      <c r="U14" s="3"/>
      <c r="V14" s="3"/>
      <c r="W14" s="3"/>
      <c r="X14" s="2"/>
      <c r="Y14" s="2"/>
      <c r="Z14" s="2"/>
      <c r="AA14" s="2"/>
    </row>
    <row r="15" spans="1:27" ht="15.5">
      <c r="A15" s="18">
        <v>1000</v>
      </c>
      <c r="B15" s="18">
        <v>114.3</v>
      </c>
      <c r="C15" s="18">
        <v>86</v>
      </c>
      <c r="D15" s="18">
        <v>181</v>
      </c>
      <c r="G15" s="3"/>
      <c r="H15" s="13"/>
      <c r="I15" s="3"/>
      <c r="J15" s="3"/>
      <c r="K15" s="3"/>
      <c r="L15" s="3"/>
      <c r="M15" s="153"/>
      <c r="N15" s="3"/>
      <c r="O15" s="3"/>
      <c r="P15" s="3"/>
      <c r="Q15" s="3"/>
      <c r="R15" s="3"/>
      <c r="S15" s="3"/>
      <c r="T15" s="3"/>
      <c r="U15" s="3"/>
      <c r="V15" s="3"/>
      <c r="W15" s="3"/>
      <c r="X15" s="2"/>
      <c r="Y15" s="2"/>
      <c r="Z15" s="2"/>
      <c r="AA15" s="2"/>
    </row>
    <row r="16" spans="1:27" ht="15.5">
      <c r="A16" s="18">
        <v>1000</v>
      </c>
      <c r="B16" s="18">
        <v>127</v>
      </c>
      <c r="C16" s="18">
        <v>102</v>
      </c>
      <c r="D16" s="18">
        <v>192</v>
      </c>
      <c r="G16" s="3"/>
      <c r="H16" s="3"/>
      <c r="I16" s="3"/>
      <c r="J16" s="3"/>
      <c r="K16" s="3"/>
      <c r="L16" s="3"/>
      <c r="M16" s="153"/>
      <c r="N16" s="3"/>
      <c r="O16" s="3"/>
      <c r="P16" s="3"/>
      <c r="Q16" s="3"/>
      <c r="R16" s="3"/>
      <c r="S16" s="3"/>
      <c r="T16" s="3"/>
      <c r="U16" s="3"/>
      <c r="V16" s="3"/>
      <c r="W16" s="3"/>
      <c r="X16" s="2"/>
      <c r="Y16" s="2"/>
      <c r="Z16" s="2"/>
      <c r="AA16" s="2"/>
    </row>
    <row r="17" spans="1:27" ht="15.5">
      <c r="A17" s="18">
        <v>1000</v>
      </c>
      <c r="B17" s="18">
        <v>139.69999999999999</v>
      </c>
      <c r="C17" s="18">
        <v>114</v>
      </c>
      <c r="D17" s="18">
        <v>207</v>
      </c>
      <c r="G17" s="3"/>
      <c r="H17" s="3"/>
      <c r="I17" s="3"/>
      <c r="J17" s="3"/>
      <c r="K17" s="3"/>
      <c r="L17" s="3"/>
      <c r="M17" s="153"/>
      <c r="N17" s="3"/>
      <c r="O17" s="3"/>
      <c r="P17" s="3"/>
      <c r="Q17" s="3"/>
      <c r="R17" s="3"/>
      <c r="S17" s="3"/>
      <c r="T17" s="3"/>
      <c r="U17" s="3"/>
      <c r="V17" s="3"/>
      <c r="W17" s="3"/>
      <c r="X17" s="2"/>
      <c r="Y17" s="2"/>
      <c r="Z17" s="2"/>
      <c r="AA17" s="2"/>
    </row>
    <row r="18" spans="1:27" ht="15.5">
      <c r="A18" s="18">
        <v>1000</v>
      </c>
      <c r="B18" s="18">
        <v>152.4</v>
      </c>
      <c r="C18" s="18">
        <v>127</v>
      </c>
      <c r="D18" s="18">
        <v>222</v>
      </c>
      <c r="G18" s="3"/>
      <c r="H18" s="3"/>
      <c r="I18" s="3"/>
      <c r="J18" s="3"/>
      <c r="K18" s="3"/>
      <c r="L18" s="3"/>
      <c r="M18" s="153"/>
      <c r="N18" s="3"/>
      <c r="O18" s="3"/>
      <c r="P18" s="3"/>
      <c r="Q18" s="3"/>
      <c r="R18" s="3"/>
      <c r="S18" s="3"/>
      <c r="T18" s="3"/>
      <c r="U18" s="3"/>
      <c r="V18" s="3"/>
      <c r="W18" s="3"/>
      <c r="X18" s="2"/>
      <c r="Y18" s="2"/>
      <c r="Z18" s="2"/>
      <c r="AA18" s="2"/>
    </row>
    <row r="19" spans="1:27" ht="15.5">
      <c r="A19" s="4"/>
      <c r="B19" s="4"/>
      <c r="C19" s="4"/>
      <c r="D19" s="4"/>
      <c r="G19" s="3"/>
      <c r="H19" s="3"/>
      <c r="I19" s="3"/>
      <c r="J19" s="3"/>
      <c r="K19" s="3"/>
      <c r="L19" s="3"/>
      <c r="M19" s="153"/>
      <c r="N19" s="3"/>
      <c r="O19" s="3"/>
      <c r="P19" s="3"/>
      <c r="Q19" s="3"/>
      <c r="R19" s="3"/>
      <c r="S19" s="3"/>
      <c r="T19" s="3"/>
      <c r="U19" s="3"/>
      <c r="V19" s="3"/>
      <c r="W19" s="3"/>
      <c r="X19" s="2"/>
      <c r="Y19" s="2"/>
      <c r="Z19" s="2"/>
      <c r="AA19" s="2"/>
    </row>
    <row r="20" spans="1:27" ht="15.5">
      <c r="A20" s="18">
        <v>1200</v>
      </c>
      <c r="B20" s="18">
        <v>114.3</v>
      </c>
      <c r="C20" s="18">
        <v>96</v>
      </c>
      <c r="D20" s="18">
        <v>213</v>
      </c>
      <c r="G20" s="3"/>
      <c r="H20" s="3"/>
      <c r="I20" s="3"/>
      <c r="J20" s="3"/>
      <c r="K20" s="3"/>
      <c r="L20" s="3"/>
      <c r="M20" s="153"/>
      <c r="N20" s="3"/>
      <c r="O20" s="3"/>
      <c r="P20" s="3"/>
      <c r="Q20" s="3"/>
      <c r="R20" s="3"/>
      <c r="S20" s="3"/>
      <c r="T20" s="3"/>
      <c r="U20" s="3"/>
      <c r="V20" s="3"/>
      <c r="W20" s="3"/>
      <c r="X20" s="2"/>
      <c r="Y20" s="2"/>
      <c r="Z20" s="2"/>
      <c r="AA20" s="2"/>
    </row>
    <row r="21" spans="1:27" ht="15.5">
      <c r="A21" s="4">
        <v>1200</v>
      </c>
      <c r="B21" s="18">
        <v>127</v>
      </c>
      <c r="C21" s="18">
        <v>123</v>
      </c>
      <c r="D21" s="18">
        <v>229</v>
      </c>
      <c r="G21" s="3"/>
      <c r="H21" s="3"/>
      <c r="I21" s="3"/>
      <c r="J21" s="3"/>
      <c r="K21" s="3"/>
      <c r="L21" s="3"/>
      <c r="M21" s="153"/>
      <c r="N21" s="3"/>
      <c r="O21" s="3"/>
      <c r="P21" s="3"/>
      <c r="Q21" s="3"/>
      <c r="R21" s="3"/>
      <c r="S21" s="3"/>
      <c r="T21" s="3"/>
      <c r="U21" s="3"/>
      <c r="V21" s="3"/>
      <c r="W21" s="3"/>
      <c r="X21" s="2"/>
      <c r="Y21" s="2"/>
      <c r="Z21" s="2"/>
      <c r="AA21" s="2"/>
    </row>
    <row r="22" spans="1:27" ht="15.5">
      <c r="A22" s="4">
        <v>1200</v>
      </c>
      <c r="B22" s="18">
        <v>139.69999999999999</v>
      </c>
      <c r="C22" s="18">
        <v>132</v>
      </c>
      <c r="D22" s="18">
        <v>247</v>
      </c>
      <c r="G22" s="3"/>
      <c r="H22" s="3"/>
      <c r="I22" s="3"/>
      <c r="J22" s="3"/>
      <c r="K22" s="3"/>
      <c r="L22" s="3"/>
      <c r="M22" s="153"/>
      <c r="N22" s="3"/>
      <c r="O22" s="3"/>
      <c r="P22" s="3"/>
      <c r="Q22" s="3"/>
      <c r="R22" s="3"/>
      <c r="S22" s="3"/>
      <c r="T22" s="3"/>
      <c r="U22" s="3"/>
      <c r="V22" s="3"/>
      <c r="W22" s="3"/>
      <c r="X22" s="2"/>
      <c r="Y22" s="2"/>
      <c r="Z22" s="2"/>
      <c r="AA22" s="2"/>
    </row>
    <row r="23" spans="1:27" ht="15.5">
      <c r="A23" s="4">
        <v>1200</v>
      </c>
      <c r="B23" s="18">
        <v>152.4</v>
      </c>
      <c r="C23" s="18">
        <v>141</v>
      </c>
      <c r="D23" s="18">
        <v>266</v>
      </c>
      <c r="G23" s="3"/>
      <c r="H23" s="3"/>
      <c r="I23" s="3"/>
      <c r="J23" s="3"/>
      <c r="K23" s="3"/>
      <c r="L23" s="3"/>
      <c r="M23" s="153"/>
      <c r="N23" s="3"/>
      <c r="O23" s="3"/>
      <c r="P23" s="3"/>
      <c r="Q23" s="3"/>
      <c r="R23" s="3"/>
      <c r="S23" s="3"/>
      <c r="T23" s="3"/>
      <c r="U23" s="3"/>
      <c r="V23" s="3"/>
      <c r="W23" s="3"/>
      <c r="X23" s="2"/>
      <c r="Y23" s="2"/>
      <c r="Z23" s="2"/>
      <c r="AA23" s="2"/>
    </row>
    <row r="24" spans="1:27" ht="15.5">
      <c r="A24" s="4"/>
      <c r="B24" s="4"/>
      <c r="C24" s="4"/>
      <c r="D24" s="4"/>
      <c r="G24" s="3"/>
      <c r="H24" s="3"/>
      <c r="I24" s="3"/>
      <c r="J24" s="3"/>
      <c r="K24" s="3"/>
      <c r="L24" s="3"/>
      <c r="M24" s="153"/>
      <c r="N24" s="3"/>
      <c r="O24" s="3"/>
      <c r="P24" s="3"/>
      <c r="Q24" s="3"/>
      <c r="R24" s="3"/>
      <c r="S24" s="3"/>
      <c r="T24" s="3"/>
      <c r="U24" s="3"/>
      <c r="V24" s="3"/>
      <c r="W24" s="3"/>
      <c r="X24" s="2"/>
      <c r="Y24" s="2"/>
      <c r="Z24" s="2"/>
      <c r="AA24" s="2"/>
    </row>
    <row r="25" spans="1:27" ht="15.5">
      <c r="A25" s="18">
        <v>1400</v>
      </c>
      <c r="B25" s="18">
        <v>139.69999999999999</v>
      </c>
      <c r="C25" s="18">
        <v>142</v>
      </c>
      <c r="D25" s="18">
        <v>280</v>
      </c>
      <c r="G25" s="3"/>
      <c r="H25" s="3"/>
      <c r="I25" s="3"/>
      <c r="J25" s="3"/>
      <c r="K25" s="3"/>
      <c r="L25" s="3"/>
      <c r="M25" s="231"/>
      <c r="N25" s="231"/>
      <c r="O25" s="231"/>
      <c r="P25" s="231"/>
      <c r="Q25" s="231"/>
      <c r="R25" s="231"/>
      <c r="S25" s="231"/>
      <c r="T25" s="231"/>
      <c r="U25" s="231"/>
      <c r="V25" s="231"/>
      <c r="W25" s="3"/>
      <c r="X25" s="2"/>
      <c r="Y25" s="2"/>
      <c r="Z25" s="2"/>
      <c r="AA25" s="2"/>
    </row>
    <row r="26" spans="1:27" ht="15.5">
      <c r="A26" s="18">
        <v>1400</v>
      </c>
      <c r="B26" s="18">
        <v>152.4</v>
      </c>
      <c r="C26" s="18">
        <v>153</v>
      </c>
      <c r="D26" s="18">
        <v>315</v>
      </c>
      <c r="G26" s="3"/>
      <c r="H26" s="3"/>
      <c r="I26" s="3"/>
      <c r="J26" s="3"/>
      <c r="K26" s="3"/>
      <c r="L26" s="3"/>
      <c r="M26" s="3"/>
      <c r="N26" s="229"/>
      <c r="O26" s="229"/>
      <c r="P26" s="229"/>
      <c r="Q26" s="229"/>
      <c r="R26" s="229"/>
      <c r="S26" s="229"/>
      <c r="T26" s="229"/>
      <c r="U26" s="229"/>
      <c r="V26" s="229"/>
      <c r="W26" s="3"/>
      <c r="X26" s="2"/>
      <c r="Y26" s="2"/>
      <c r="Z26" s="2"/>
      <c r="AA26" s="2"/>
    </row>
    <row r="27" spans="1:27" ht="15.5">
      <c r="A27" s="151"/>
      <c r="B27" s="151"/>
      <c r="C27" s="151"/>
      <c r="D27" s="151"/>
      <c r="G27" s="3"/>
      <c r="H27" s="3"/>
      <c r="I27" s="3"/>
      <c r="J27" s="3"/>
      <c r="K27" s="3"/>
      <c r="L27" s="3"/>
      <c r="M27" s="153"/>
      <c r="N27" s="152"/>
      <c r="O27" s="152"/>
      <c r="P27" s="152"/>
      <c r="Q27" s="152"/>
      <c r="R27" s="152"/>
      <c r="S27" s="152"/>
      <c r="T27" s="152"/>
      <c r="U27" s="152"/>
      <c r="V27" s="152"/>
      <c r="W27" s="3"/>
      <c r="X27" s="2"/>
      <c r="Y27" s="2"/>
      <c r="Z27" s="2"/>
      <c r="AA27" s="2"/>
    </row>
    <row r="28" spans="1:27" ht="13">
      <c r="A28" s="16"/>
    </row>
    <row r="29" spans="1:27" ht="15.5">
      <c r="A29" s="51" t="s">
        <v>83</v>
      </c>
      <c r="B29" s="42"/>
      <c r="C29" s="42"/>
      <c r="D29" s="51" t="s">
        <v>85</v>
      </c>
      <c r="E29" s="42"/>
    </row>
    <row r="32" spans="1:27" ht="26">
      <c r="A32" s="6" t="s">
        <v>84</v>
      </c>
      <c r="B32" s="6" t="s">
        <v>86</v>
      </c>
      <c r="C32" s="6" t="s">
        <v>87</v>
      </c>
      <c r="D32" s="5" t="s">
        <v>101</v>
      </c>
      <c r="E32" s="4"/>
      <c r="F32" s="4"/>
      <c r="G32" s="4"/>
    </row>
    <row r="33" spans="1:14" ht="78">
      <c r="A33" s="6"/>
      <c r="B33" s="6"/>
      <c r="C33" s="6"/>
      <c r="D33" s="171" t="s">
        <v>63</v>
      </c>
      <c r="E33" s="171" t="s">
        <v>102</v>
      </c>
      <c r="F33" s="171" t="s">
        <v>103</v>
      </c>
      <c r="G33" s="4"/>
    </row>
    <row r="34" spans="1:14">
      <c r="A34" s="4"/>
      <c r="B34" s="4"/>
      <c r="C34" s="4"/>
      <c r="D34" s="4"/>
      <c r="E34" s="4"/>
      <c r="F34" s="4"/>
      <c r="G34" s="4"/>
    </row>
    <row r="35" spans="1:14" ht="13">
      <c r="A35" s="18" t="s">
        <v>88</v>
      </c>
      <c r="B35" s="18">
        <v>4.2</v>
      </c>
      <c r="C35" s="18">
        <v>31</v>
      </c>
      <c r="D35" s="26">
        <v>450</v>
      </c>
      <c r="E35" s="26">
        <v>400</v>
      </c>
      <c r="F35" s="26">
        <v>300</v>
      </c>
      <c r="G35" s="4"/>
    </row>
    <row r="36" spans="1:14" ht="13">
      <c r="A36" s="18" t="s">
        <v>89</v>
      </c>
      <c r="B36" s="18">
        <v>4</v>
      </c>
      <c r="C36" s="18">
        <v>63</v>
      </c>
      <c r="D36" s="26">
        <v>500</v>
      </c>
      <c r="E36" s="26">
        <v>450</v>
      </c>
      <c r="F36" s="26">
        <v>350</v>
      </c>
      <c r="G36" s="4"/>
    </row>
    <row r="37" spans="1:14" ht="13">
      <c r="A37" s="18" t="s">
        <v>90</v>
      </c>
      <c r="B37" s="18">
        <v>6.7</v>
      </c>
      <c r="C37" s="18">
        <v>70</v>
      </c>
      <c r="D37" s="26">
        <v>650</v>
      </c>
      <c r="E37" s="26">
        <v>500</v>
      </c>
      <c r="F37" s="26">
        <v>400</v>
      </c>
      <c r="G37" s="4"/>
    </row>
    <row r="38" spans="1:14" ht="13">
      <c r="A38" s="18" t="s">
        <v>91</v>
      </c>
      <c r="B38" s="18">
        <v>7.1</v>
      </c>
      <c r="C38" s="18">
        <v>90</v>
      </c>
      <c r="D38" s="26">
        <v>800</v>
      </c>
      <c r="E38" s="26">
        <v>650</v>
      </c>
      <c r="F38" s="26">
        <v>450</v>
      </c>
      <c r="G38" s="4"/>
    </row>
    <row r="39" spans="1:14" ht="13">
      <c r="A39" s="18" t="s">
        <v>342</v>
      </c>
      <c r="B39" s="18">
        <v>6.7</v>
      </c>
      <c r="C39" s="18">
        <v>140</v>
      </c>
      <c r="D39" s="26">
        <v>630</v>
      </c>
      <c r="E39" s="26">
        <v>500</v>
      </c>
      <c r="F39" s="26">
        <v>400</v>
      </c>
      <c r="G39" s="18"/>
      <c r="H39" s="8"/>
    </row>
    <row r="41" spans="1:14" ht="15.5">
      <c r="A41" s="51" t="s">
        <v>104</v>
      </c>
      <c r="B41" s="42"/>
      <c r="C41" s="42"/>
    </row>
    <row r="43" spans="1:14" ht="13">
      <c r="A43" s="22" t="s">
        <v>94</v>
      </c>
      <c r="B43" s="25"/>
      <c r="C43" s="19"/>
      <c r="D43" s="22" t="s">
        <v>95</v>
      </c>
      <c r="E43" s="23"/>
      <c r="F43" s="24"/>
      <c r="H43" s="22" t="s">
        <v>98</v>
      </c>
      <c r="I43" s="23"/>
      <c r="J43" s="24"/>
      <c r="L43" s="22" t="s">
        <v>99</v>
      </c>
      <c r="M43" s="23"/>
      <c r="N43" s="24"/>
    </row>
    <row r="44" spans="1:14" ht="26">
      <c r="A44" s="170" t="s">
        <v>92</v>
      </c>
      <c r="B44" s="170" t="s">
        <v>93</v>
      </c>
      <c r="C44" s="31"/>
      <c r="D44" s="170" t="s">
        <v>63</v>
      </c>
      <c r="E44" s="171" t="s">
        <v>96</v>
      </c>
      <c r="F44" s="170" t="s">
        <v>97</v>
      </c>
      <c r="G44" s="172"/>
      <c r="H44" s="170" t="s">
        <v>63</v>
      </c>
      <c r="I44" s="171" t="s">
        <v>96</v>
      </c>
      <c r="J44" s="170" t="s">
        <v>97</v>
      </c>
      <c r="K44" s="4"/>
      <c r="L44" s="20" t="s">
        <v>63</v>
      </c>
      <c r="M44" s="21" t="s">
        <v>96</v>
      </c>
      <c r="N44" s="20" t="s">
        <v>97</v>
      </c>
    </row>
    <row r="45" spans="1:14">
      <c r="A45" s="4"/>
      <c r="B45" s="4"/>
      <c r="C45" s="4"/>
      <c r="D45" s="4"/>
      <c r="E45" s="4"/>
      <c r="F45" s="4"/>
      <c r="G45" s="4"/>
      <c r="H45" s="4"/>
      <c r="I45" s="4"/>
      <c r="J45" s="4"/>
      <c r="K45" s="4"/>
      <c r="L45" s="4"/>
      <c r="M45" s="4"/>
      <c r="N45" s="4"/>
    </row>
    <row r="46" spans="1:14" ht="13">
      <c r="A46" s="26" t="s">
        <v>100</v>
      </c>
      <c r="B46" s="18">
        <v>1.1000000000000001</v>
      </c>
      <c r="C46" s="18"/>
      <c r="D46" s="18">
        <v>100</v>
      </c>
      <c r="E46" s="26" t="s">
        <v>100</v>
      </c>
      <c r="F46" s="26" t="s">
        <v>100</v>
      </c>
      <c r="G46" s="26"/>
      <c r="H46" s="26" t="s">
        <v>100</v>
      </c>
      <c r="I46" s="26" t="s">
        <v>100</v>
      </c>
      <c r="J46" s="26" t="s">
        <v>100</v>
      </c>
      <c r="K46" s="26"/>
      <c r="L46" s="26" t="s">
        <v>100</v>
      </c>
      <c r="M46" s="26" t="s">
        <v>100</v>
      </c>
      <c r="N46" s="26" t="s">
        <v>100</v>
      </c>
    </row>
    <row r="47" spans="1:14" ht="13">
      <c r="A47" s="18">
        <v>1.2</v>
      </c>
      <c r="B47" s="18">
        <v>1.3</v>
      </c>
      <c r="C47" s="18"/>
      <c r="D47" s="18">
        <v>125</v>
      </c>
      <c r="E47" s="18">
        <v>100</v>
      </c>
      <c r="F47" s="26" t="s">
        <v>100</v>
      </c>
      <c r="G47" s="18"/>
      <c r="H47" s="18">
        <v>100</v>
      </c>
      <c r="I47" s="26" t="s">
        <v>100</v>
      </c>
      <c r="J47" s="26" t="s">
        <v>100</v>
      </c>
      <c r="K47" s="18"/>
      <c r="L47" s="26" t="s">
        <v>100</v>
      </c>
      <c r="M47" s="26" t="s">
        <v>100</v>
      </c>
      <c r="N47" s="26" t="s">
        <v>100</v>
      </c>
    </row>
    <row r="48" spans="1:14" ht="13">
      <c r="A48" s="18">
        <v>1.4</v>
      </c>
      <c r="B48" s="18">
        <v>1.7</v>
      </c>
      <c r="C48" s="18"/>
      <c r="D48" s="18">
        <v>160</v>
      </c>
      <c r="E48" s="18">
        <v>125</v>
      </c>
      <c r="F48" s="18">
        <v>100</v>
      </c>
      <c r="G48" s="18"/>
      <c r="H48" s="18">
        <v>125</v>
      </c>
      <c r="I48" s="18">
        <v>100</v>
      </c>
      <c r="J48" s="26" t="s">
        <v>100</v>
      </c>
      <c r="K48" s="18"/>
      <c r="L48" s="18">
        <v>100</v>
      </c>
      <c r="M48" s="18">
        <v>100</v>
      </c>
      <c r="N48" s="26" t="s">
        <v>100</v>
      </c>
    </row>
    <row r="49" spans="1:14" ht="13">
      <c r="A49" s="18">
        <v>1.8</v>
      </c>
      <c r="B49" s="18">
        <v>2.2000000000000002</v>
      </c>
      <c r="C49" s="18"/>
      <c r="D49" s="18">
        <v>200</v>
      </c>
      <c r="E49" s="18">
        <v>160</v>
      </c>
      <c r="F49" s="18">
        <v>125</v>
      </c>
      <c r="G49" s="18"/>
      <c r="H49" s="18">
        <v>160</v>
      </c>
      <c r="I49" s="18">
        <v>125</v>
      </c>
      <c r="J49" s="18">
        <v>100</v>
      </c>
      <c r="K49" s="18"/>
      <c r="L49" s="18">
        <v>125</v>
      </c>
      <c r="M49" s="18">
        <v>125</v>
      </c>
      <c r="N49" s="18">
        <v>100</v>
      </c>
    </row>
    <row r="50" spans="1:14" ht="13">
      <c r="A50" s="18">
        <v>2.2999999999999998</v>
      </c>
      <c r="B50" s="18">
        <v>2.7</v>
      </c>
      <c r="C50" s="18"/>
      <c r="D50" s="18">
        <v>250</v>
      </c>
      <c r="E50" s="18">
        <v>200</v>
      </c>
      <c r="F50" s="18">
        <v>160</v>
      </c>
      <c r="G50" s="18"/>
      <c r="H50" s="18">
        <v>200</v>
      </c>
      <c r="I50" s="18">
        <v>160</v>
      </c>
      <c r="J50" s="18">
        <v>125</v>
      </c>
      <c r="K50" s="18"/>
      <c r="L50" s="18">
        <v>160</v>
      </c>
      <c r="M50" s="18">
        <v>160</v>
      </c>
      <c r="N50" s="18">
        <v>125</v>
      </c>
    </row>
    <row r="51" spans="1:14" ht="13">
      <c r="A51" s="18">
        <v>2.8</v>
      </c>
      <c r="B51" s="18">
        <v>3.5</v>
      </c>
      <c r="C51" s="18"/>
      <c r="D51" s="18">
        <v>315</v>
      </c>
      <c r="E51" s="18">
        <v>250</v>
      </c>
      <c r="F51" s="18">
        <v>200</v>
      </c>
      <c r="G51" s="18"/>
      <c r="H51" s="18">
        <v>250</v>
      </c>
      <c r="I51" s="18">
        <v>200</v>
      </c>
      <c r="J51" s="18">
        <v>160</v>
      </c>
      <c r="K51" s="18"/>
      <c r="L51" s="18">
        <v>200</v>
      </c>
      <c r="M51" s="18">
        <v>200</v>
      </c>
      <c r="N51" s="18">
        <v>160</v>
      </c>
    </row>
    <row r="52" spans="1:14" ht="13">
      <c r="A52" s="18">
        <v>3.6</v>
      </c>
      <c r="B52" s="18">
        <v>4.4000000000000004</v>
      </c>
      <c r="C52" s="18"/>
      <c r="D52" s="18">
        <v>400</v>
      </c>
      <c r="E52" s="18">
        <v>315</v>
      </c>
      <c r="F52" s="18">
        <v>250</v>
      </c>
      <c r="G52" s="18"/>
      <c r="H52" s="18">
        <v>315</v>
      </c>
      <c r="I52" s="18">
        <v>250</v>
      </c>
      <c r="J52" s="18">
        <v>200</v>
      </c>
      <c r="K52" s="18"/>
      <c r="L52" s="18">
        <v>250</v>
      </c>
      <c r="M52" s="18">
        <v>250</v>
      </c>
      <c r="N52" s="18">
        <v>200</v>
      </c>
    </row>
    <row r="53" spans="1:14" ht="13">
      <c r="A53" s="18">
        <v>4.5</v>
      </c>
      <c r="B53" s="18">
        <v>5.5</v>
      </c>
      <c r="C53" s="18"/>
      <c r="D53" s="18">
        <v>500</v>
      </c>
      <c r="E53" s="18">
        <v>400</v>
      </c>
      <c r="F53" s="18">
        <v>315</v>
      </c>
      <c r="G53" s="18"/>
      <c r="H53" s="18">
        <v>400</v>
      </c>
      <c r="I53" s="18">
        <v>315</v>
      </c>
      <c r="J53" s="18">
        <v>250</v>
      </c>
      <c r="K53" s="18"/>
      <c r="L53" s="18">
        <v>315</v>
      </c>
      <c r="M53" s="18">
        <v>315</v>
      </c>
      <c r="N53" s="18">
        <v>250</v>
      </c>
    </row>
    <row r="54" spans="1:14" ht="13">
      <c r="A54" s="18">
        <v>5.6</v>
      </c>
      <c r="B54" s="18">
        <v>7</v>
      </c>
      <c r="C54" s="18"/>
      <c r="D54" s="18">
        <v>630</v>
      </c>
      <c r="E54" s="18">
        <v>500</v>
      </c>
      <c r="F54" s="18">
        <v>400</v>
      </c>
      <c r="G54" s="18"/>
      <c r="H54" s="18">
        <v>500</v>
      </c>
      <c r="I54" s="18">
        <v>400</v>
      </c>
      <c r="J54" s="18">
        <v>315</v>
      </c>
      <c r="K54" s="18"/>
      <c r="L54" s="18">
        <v>400</v>
      </c>
      <c r="M54" s="18">
        <v>400</v>
      </c>
      <c r="N54" s="18">
        <v>315</v>
      </c>
    </row>
    <row r="55" spans="1:14" ht="13">
      <c r="A55" s="18">
        <v>7.1</v>
      </c>
      <c r="B55" s="18">
        <v>8.8000000000000007</v>
      </c>
      <c r="C55" s="18"/>
      <c r="D55" s="18">
        <v>800</v>
      </c>
      <c r="E55" s="18">
        <v>630</v>
      </c>
      <c r="F55" s="18">
        <v>500</v>
      </c>
      <c r="G55" s="18"/>
      <c r="H55" s="18">
        <v>630</v>
      </c>
      <c r="I55" s="18">
        <v>500</v>
      </c>
      <c r="J55" s="18">
        <v>400</v>
      </c>
      <c r="K55" s="18"/>
      <c r="L55" s="18">
        <v>500</v>
      </c>
      <c r="M55" s="18">
        <v>500</v>
      </c>
      <c r="N55" s="18">
        <v>400</v>
      </c>
    </row>
    <row r="56" spans="1:14" ht="13">
      <c r="A56" s="18">
        <v>8.9</v>
      </c>
      <c r="B56" s="18">
        <v>11.1</v>
      </c>
      <c r="C56" s="18"/>
      <c r="D56" s="18">
        <v>1000</v>
      </c>
      <c r="E56" s="18">
        <v>800</v>
      </c>
      <c r="F56" s="18">
        <v>630</v>
      </c>
      <c r="G56" s="18"/>
      <c r="H56" s="18">
        <v>800</v>
      </c>
      <c r="I56" s="18">
        <v>630</v>
      </c>
      <c r="J56" s="18">
        <v>500</v>
      </c>
      <c r="K56" s="18"/>
      <c r="L56" s="18">
        <v>630</v>
      </c>
      <c r="M56" s="18">
        <v>630</v>
      </c>
      <c r="N56" s="18">
        <v>500</v>
      </c>
    </row>
    <row r="57" spans="1:14" ht="13">
      <c r="A57" s="18">
        <v>11.2</v>
      </c>
      <c r="B57" s="18">
        <v>13.8</v>
      </c>
      <c r="C57" s="18"/>
      <c r="D57" s="18">
        <v>1250</v>
      </c>
      <c r="E57" s="18">
        <v>1000</v>
      </c>
      <c r="F57" s="18">
        <v>800</v>
      </c>
      <c r="G57" s="18"/>
      <c r="H57" s="18">
        <v>1000</v>
      </c>
      <c r="I57" s="18">
        <v>800</v>
      </c>
      <c r="J57" s="18">
        <v>630</v>
      </c>
      <c r="K57" s="18"/>
      <c r="L57" s="18">
        <v>800</v>
      </c>
      <c r="M57" s="18">
        <v>800</v>
      </c>
      <c r="N57" s="18">
        <v>630</v>
      </c>
    </row>
    <row r="58" spans="1:14" ht="13">
      <c r="A58" s="18">
        <v>13.9</v>
      </c>
      <c r="B58" s="18">
        <v>15.5</v>
      </c>
      <c r="C58" s="18"/>
      <c r="D58" s="18">
        <v>1400</v>
      </c>
      <c r="E58" s="18">
        <v>1250</v>
      </c>
      <c r="F58" s="18">
        <v>1000</v>
      </c>
      <c r="G58" s="18"/>
      <c r="H58" s="18">
        <v>1250</v>
      </c>
      <c r="I58" s="18">
        <v>1000</v>
      </c>
      <c r="J58" s="18">
        <v>800</v>
      </c>
      <c r="K58" s="18"/>
      <c r="L58" s="18">
        <v>1000</v>
      </c>
      <c r="M58" s="18">
        <v>1000</v>
      </c>
      <c r="N58" s="18">
        <v>800</v>
      </c>
    </row>
    <row r="59" spans="1:14" ht="13">
      <c r="A59" s="27">
        <v>15.6</v>
      </c>
      <c r="B59" s="18">
        <v>17.7</v>
      </c>
      <c r="C59" s="4"/>
      <c r="D59" s="28">
        <v>1600</v>
      </c>
      <c r="E59" s="28">
        <v>1250</v>
      </c>
      <c r="F59" s="28">
        <v>1000</v>
      </c>
      <c r="G59" s="4"/>
      <c r="H59" s="28">
        <v>1250</v>
      </c>
      <c r="I59" s="28">
        <v>1000</v>
      </c>
      <c r="J59" s="28">
        <v>800</v>
      </c>
      <c r="K59" s="4"/>
      <c r="L59" s="28">
        <v>1000</v>
      </c>
      <c r="M59" s="28">
        <v>1000</v>
      </c>
      <c r="N59" s="28">
        <v>800</v>
      </c>
    </row>
    <row r="60" spans="1:14" ht="13">
      <c r="A60" s="27">
        <v>17.8</v>
      </c>
      <c r="B60" s="18">
        <v>20</v>
      </c>
      <c r="C60" s="4"/>
      <c r="D60" s="28">
        <v>1800</v>
      </c>
      <c r="E60" s="28">
        <v>1400</v>
      </c>
      <c r="F60" s="28">
        <v>1250</v>
      </c>
      <c r="G60" s="4"/>
      <c r="H60" s="28">
        <v>1400</v>
      </c>
      <c r="I60" s="28">
        <v>1250</v>
      </c>
      <c r="J60" s="28">
        <v>1000</v>
      </c>
      <c r="K60" s="4"/>
      <c r="L60" s="28">
        <v>1250</v>
      </c>
      <c r="M60" s="28">
        <v>1250</v>
      </c>
      <c r="N60" s="28">
        <v>1000</v>
      </c>
    </row>
    <row r="63" spans="1:14" ht="15.5">
      <c r="A63" s="51" t="s">
        <v>105</v>
      </c>
      <c r="B63" s="42"/>
      <c r="D63" s="7" t="s">
        <v>106</v>
      </c>
      <c r="F63" s="7"/>
    </row>
    <row r="65" spans="1:6" ht="13">
      <c r="A65" s="173" t="s">
        <v>107</v>
      </c>
      <c r="B65" s="173" t="s">
        <v>63</v>
      </c>
      <c r="C65" s="173" t="s">
        <v>64</v>
      </c>
      <c r="D65" s="173" t="s">
        <v>65</v>
      </c>
    </row>
    <row r="66" spans="1:6" ht="13">
      <c r="A66" s="28">
        <v>1200</v>
      </c>
      <c r="B66" s="28">
        <v>10000</v>
      </c>
      <c r="C66" s="28">
        <v>7000</v>
      </c>
      <c r="D66" s="28">
        <v>5000</v>
      </c>
    </row>
    <row r="67" spans="1:6" ht="13">
      <c r="A67" s="28">
        <v>1000</v>
      </c>
      <c r="B67" s="28">
        <v>8000</v>
      </c>
      <c r="C67" s="28">
        <v>6000</v>
      </c>
      <c r="D67" s="28">
        <v>4500</v>
      </c>
    </row>
    <row r="68" spans="1:6" ht="13">
      <c r="A68" s="28">
        <v>800</v>
      </c>
      <c r="B68" s="28">
        <v>7000</v>
      </c>
      <c r="C68" s="28">
        <v>5000</v>
      </c>
      <c r="D68" s="28">
        <v>4000</v>
      </c>
    </row>
    <row r="69" spans="1:6" ht="13">
      <c r="A69" s="28">
        <v>630</v>
      </c>
      <c r="B69" s="28">
        <v>6000</v>
      </c>
      <c r="C69" s="28">
        <v>4500</v>
      </c>
      <c r="D69" s="28">
        <v>4000</v>
      </c>
    </row>
    <row r="70" spans="1:6" ht="13">
      <c r="A70" s="28">
        <v>500</v>
      </c>
      <c r="B70" s="29" t="s">
        <v>100</v>
      </c>
      <c r="C70" s="28">
        <v>3000</v>
      </c>
      <c r="D70" s="28">
        <v>3000</v>
      </c>
    </row>
    <row r="71" spans="1:6" ht="13">
      <c r="A71" s="28">
        <v>400</v>
      </c>
      <c r="B71" s="29" t="s">
        <v>100</v>
      </c>
      <c r="C71" s="28">
        <v>3000</v>
      </c>
      <c r="D71" s="28">
        <v>3000</v>
      </c>
    </row>
    <row r="74" spans="1:6" ht="15.5">
      <c r="A74" s="51" t="s">
        <v>108</v>
      </c>
      <c r="B74" s="42"/>
      <c r="C74" s="42"/>
      <c r="D74" s="42"/>
      <c r="F74" s="7"/>
    </row>
    <row r="76" spans="1:6" ht="15.5">
      <c r="A76" s="52" t="s">
        <v>166</v>
      </c>
      <c r="B76" s="53" t="s">
        <v>167</v>
      </c>
      <c r="C76" s="64"/>
    </row>
    <row r="77" spans="1:6" ht="15.5">
      <c r="A77" s="54">
        <v>1.25</v>
      </c>
      <c r="B77" s="63" t="s">
        <v>164</v>
      </c>
    </row>
    <row r="78" spans="1:6" ht="15.5">
      <c r="A78" s="54">
        <v>1.4</v>
      </c>
      <c r="B78" s="63" t="s">
        <v>164</v>
      </c>
    </row>
    <row r="79" spans="1:6" ht="15.5">
      <c r="A79" s="54">
        <v>1.6</v>
      </c>
      <c r="B79" s="63" t="s">
        <v>164</v>
      </c>
    </row>
    <row r="80" spans="1:6" ht="15.5">
      <c r="A80" s="54">
        <v>1.8</v>
      </c>
      <c r="B80" s="63" t="s">
        <v>164</v>
      </c>
    </row>
    <row r="81" spans="1:3" ht="15.5">
      <c r="A81" s="54">
        <v>2</v>
      </c>
      <c r="B81" s="63" t="s">
        <v>164</v>
      </c>
    </row>
    <row r="82" spans="1:3" ht="15.5">
      <c r="A82" s="54">
        <v>2.2400000000000002</v>
      </c>
      <c r="B82" s="63" t="s">
        <v>164</v>
      </c>
    </row>
    <row r="83" spans="1:3" ht="15.5">
      <c r="A83" s="54">
        <v>2.5</v>
      </c>
      <c r="B83" s="63" t="s">
        <v>164</v>
      </c>
    </row>
    <row r="84" spans="1:3" ht="15.5">
      <c r="A84" s="54">
        <v>2.8</v>
      </c>
      <c r="B84" s="63" t="s">
        <v>164</v>
      </c>
    </row>
    <row r="85" spans="1:3" ht="15.5">
      <c r="A85" s="54">
        <v>3.15</v>
      </c>
      <c r="B85" s="63" t="s">
        <v>164</v>
      </c>
    </row>
    <row r="86" spans="1:3" ht="15.5">
      <c r="A86" s="54">
        <v>3.56</v>
      </c>
      <c r="B86" s="63" t="s">
        <v>164</v>
      </c>
    </row>
    <row r="87" spans="1:3" ht="15.5">
      <c r="A87" s="54">
        <v>4</v>
      </c>
      <c r="B87" s="63" t="s">
        <v>164</v>
      </c>
    </row>
    <row r="88" spans="1:3" ht="15.5">
      <c r="A88" s="54">
        <v>4.5</v>
      </c>
      <c r="B88" s="63" t="s">
        <v>164</v>
      </c>
    </row>
    <row r="89" spans="1:3" ht="15.5">
      <c r="A89" s="54">
        <v>5</v>
      </c>
      <c r="B89" s="63" t="s">
        <v>164</v>
      </c>
    </row>
    <row r="90" spans="1:3" ht="15.5">
      <c r="A90" s="54">
        <v>5.6</v>
      </c>
      <c r="B90" s="63" t="s">
        <v>164</v>
      </c>
    </row>
    <row r="91" spans="1:3" ht="15.5">
      <c r="A91" s="54">
        <v>6.3</v>
      </c>
      <c r="B91" s="63" t="s">
        <v>164</v>
      </c>
      <c r="C91" s="12"/>
    </row>
    <row r="92" spans="1:3" ht="15.5">
      <c r="A92" s="54">
        <v>7.1</v>
      </c>
      <c r="B92" s="63" t="s">
        <v>163</v>
      </c>
      <c r="C92" s="3"/>
    </row>
    <row r="93" spans="1:3" ht="15.5">
      <c r="A93" s="54">
        <v>8</v>
      </c>
      <c r="B93" s="63" t="s">
        <v>163</v>
      </c>
      <c r="C93" s="3"/>
    </row>
    <row r="94" spans="1:3" ht="15.5">
      <c r="A94" s="54">
        <v>9</v>
      </c>
      <c r="B94" s="63" t="s">
        <v>163</v>
      </c>
      <c r="C94" s="3"/>
    </row>
    <row r="95" spans="1:3" ht="15.5">
      <c r="A95" s="54">
        <v>10</v>
      </c>
      <c r="B95" s="63" t="s">
        <v>163</v>
      </c>
      <c r="C95" s="3"/>
    </row>
    <row r="96" spans="1:3" ht="15.5">
      <c r="A96" s="54">
        <v>11.2</v>
      </c>
      <c r="B96" s="63" t="s">
        <v>163</v>
      </c>
      <c r="C96" s="3"/>
    </row>
    <row r="97" spans="1:3" ht="15.5">
      <c r="A97" s="54">
        <v>12.5</v>
      </c>
      <c r="B97" s="63" t="s">
        <v>163</v>
      </c>
      <c r="C97" s="3"/>
    </row>
    <row r="98" spans="1:3" ht="15.5">
      <c r="A98" s="54">
        <v>14</v>
      </c>
      <c r="B98" s="63" t="s">
        <v>163</v>
      </c>
      <c r="C98" s="3"/>
    </row>
    <row r="99" spans="1:3" ht="15.5">
      <c r="A99" s="54">
        <v>16</v>
      </c>
      <c r="B99" s="63" t="s">
        <v>163</v>
      </c>
      <c r="C99" s="3"/>
    </row>
    <row r="100" spans="1:3" ht="15.5">
      <c r="A100" s="54">
        <v>18</v>
      </c>
      <c r="B100" s="63" t="s">
        <v>163</v>
      </c>
      <c r="C100" s="3"/>
    </row>
    <row r="101" spans="1:3" ht="15.5">
      <c r="A101" s="54">
        <v>20</v>
      </c>
      <c r="B101" s="63" t="s">
        <v>163</v>
      </c>
      <c r="C101" s="3"/>
    </row>
    <row r="102" spans="1:3" ht="15.5">
      <c r="A102" s="54">
        <v>22.4</v>
      </c>
      <c r="B102" s="63" t="s">
        <v>163</v>
      </c>
      <c r="C102" s="3"/>
    </row>
    <row r="103" spans="1:3" ht="15.5">
      <c r="A103" s="54">
        <v>25</v>
      </c>
      <c r="B103" s="63" t="s">
        <v>165</v>
      </c>
      <c r="C103" s="3"/>
    </row>
    <row r="104" spans="1:3" ht="15.5">
      <c r="A104" s="54">
        <v>28</v>
      </c>
      <c r="B104" s="63" t="s">
        <v>165</v>
      </c>
      <c r="C104" s="3"/>
    </row>
    <row r="105" spans="1:3" ht="15.5">
      <c r="A105" s="54">
        <v>31.5</v>
      </c>
      <c r="B105" s="63" t="s">
        <v>165</v>
      </c>
      <c r="C105" s="3"/>
    </row>
    <row r="106" spans="1:3" ht="15.5">
      <c r="A106" s="54">
        <v>35.5</v>
      </c>
      <c r="B106" s="63" t="s">
        <v>165</v>
      </c>
      <c r="C106" s="3"/>
    </row>
    <row r="107" spans="1:3" ht="15.5">
      <c r="A107" s="54">
        <v>40</v>
      </c>
      <c r="B107" s="63" t="s">
        <v>165</v>
      </c>
      <c r="C107" s="3"/>
    </row>
    <row r="108" spans="1:3" ht="15.5">
      <c r="A108" s="54">
        <v>45</v>
      </c>
      <c r="B108" s="63" t="s">
        <v>165</v>
      </c>
      <c r="C108" s="3"/>
    </row>
    <row r="109" spans="1:3" ht="15.5">
      <c r="A109" s="54">
        <v>50</v>
      </c>
      <c r="B109" s="63" t="s">
        <v>165</v>
      </c>
      <c r="C109" s="3"/>
    </row>
    <row r="110" spans="1:3" ht="15.5">
      <c r="A110" s="54">
        <v>56</v>
      </c>
      <c r="B110" s="63" t="s">
        <v>165</v>
      </c>
      <c r="C110" s="3"/>
    </row>
    <row r="111" spans="1:3" ht="15.5">
      <c r="A111" s="54">
        <v>63</v>
      </c>
      <c r="B111" s="63" t="s">
        <v>165</v>
      </c>
      <c r="C111" s="3"/>
    </row>
    <row r="112" spans="1:3" ht="15.5">
      <c r="A112" s="54">
        <v>71</v>
      </c>
      <c r="B112" s="63" t="s">
        <v>165</v>
      </c>
      <c r="C112" s="3"/>
    </row>
    <row r="113" spans="1:11" ht="15.5">
      <c r="A113" s="54">
        <v>80</v>
      </c>
      <c r="B113" s="63" t="s">
        <v>165</v>
      </c>
      <c r="C113" s="3"/>
    </row>
    <row r="114" spans="1:11" ht="15.5">
      <c r="A114" s="54">
        <v>90</v>
      </c>
      <c r="B114" s="63" t="s">
        <v>165</v>
      </c>
      <c r="C114" s="3"/>
    </row>
    <row r="115" spans="1:11" ht="15.5">
      <c r="A115" s="54">
        <v>100</v>
      </c>
      <c r="B115" s="63" t="s">
        <v>165</v>
      </c>
      <c r="C115" s="3"/>
    </row>
    <row r="116" spans="1:11" ht="15.5">
      <c r="A116" s="54">
        <v>112</v>
      </c>
      <c r="B116" s="63" t="s">
        <v>165</v>
      </c>
      <c r="C116" s="3"/>
    </row>
    <row r="117" spans="1:11" ht="15.5">
      <c r="A117" s="62"/>
      <c r="B117" s="3"/>
      <c r="C117" s="3"/>
    </row>
    <row r="120" spans="1:11" ht="15.5">
      <c r="A120" s="41" t="s">
        <v>123</v>
      </c>
      <c r="B120" s="42"/>
      <c r="C120" s="42"/>
      <c r="D120" s="42"/>
      <c r="E120" s="42"/>
    </row>
    <row r="122" spans="1:11" ht="62">
      <c r="A122" s="43" t="s">
        <v>115</v>
      </c>
      <c r="B122" s="43">
        <v>25</v>
      </c>
      <c r="C122" s="44"/>
      <c r="F122" s="179"/>
      <c r="G122" s="180" t="s">
        <v>329</v>
      </c>
      <c r="J122" s="181" t="s">
        <v>330</v>
      </c>
      <c r="K122" s="197" t="s">
        <v>332</v>
      </c>
    </row>
    <row r="124" spans="1:11" ht="46.5">
      <c r="A124" s="10" t="s">
        <v>126</v>
      </c>
      <c r="B124" s="10" t="s">
        <v>116</v>
      </c>
      <c r="C124" s="10" t="s">
        <v>117</v>
      </c>
      <c r="D124" s="10" t="s">
        <v>118</v>
      </c>
      <c r="E124" s="10" t="s">
        <v>119</v>
      </c>
      <c r="F124" s="10" t="s">
        <v>120</v>
      </c>
      <c r="G124" s="10" t="s">
        <v>121</v>
      </c>
      <c r="H124" s="48" t="s">
        <v>125</v>
      </c>
      <c r="I124" s="46"/>
      <c r="J124" s="10" t="s">
        <v>331</v>
      </c>
      <c r="K124" s="48" t="s">
        <v>125</v>
      </c>
    </row>
    <row r="125" spans="1:11">
      <c r="A125" s="4"/>
      <c r="B125" s="4"/>
      <c r="C125" s="4"/>
      <c r="D125" s="4"/>
      <c r="E125" s="4"/>
      <c r="F125" s="4"/>
      <c r="G125" s="4"/>
      <c r="H125" s="4"/>
      <c r="I125" s="47"/>
      <c r="K125" s="4"/>
    </row>
    <row r="126" spans="1:11" ht="15.5">
      <c r="A126" s="182">
        <v>92.5</v>
      </c>
      <c r="B126" s="182">
        <v>500</v>
      </c>
      <c r="C126" s="182">
        <v>1</v>
      </c>
      <c r="D126" s="182">
        <v>1</v>
      </c>
      <c r="E126" s="182">
        <v>1</v>
      </c>
      <c r="F126" s="182">
        <v>1</v>
      </c>
      <c r="G126" s="182">
        <v>2.5700000000000001E-2</v>
      </c>
      <c r="H126" s="49">
        <f>3600*G126*F126*E126</f>
        <v>92.52</v>
      </c>
      <c r="I126" s="45"/>
      <c r="J126" s="183">
        <v>2.1049999999999999E-2</v>
      </c>
      <c r="K126" s="49">
        <f>3600*J126*F126*E126*D126*C126</f>
        <v>75.78</v>
      </c>
    </row>
    <row r="127" spans="1:11" ht="15.5">
      <c r="A127" s="182"/>
      <c r="B127" s="182"/>
      <c r="C127" s="182"/>
      <c r="D127" s="182"/>
      <c r="E127" s="182"/>
      <c r="F127" s="182"/>
      <c r="G127" s="182"/>
      <c r="H127" s="184"/>
      <c r="I127" s="185"/>
      <c r="J127" s="183"/>
      <c r="K127" s="49"/>
    </row>
    <row r="128" spans="1:11" ht="15.5">
      <c r="A128" s="182">
        <v>169</v>
      </c>
      <c r="B128" s="182">
        <v>650</v>
      </c>
      <c r="C128" s="182">
        <v>1</v>
      </c>
      <c r="D128" s="182">
        <v>1</v>
      </c>
      <c r="E128" s="182">
        <v>1</v>
      </c>
      <c r="F128" s="182">
        <v>1</v>
      </c>
      <c r="G128" s="182">
        <v>4.7E-2</v>
      </c>
      <c r="H128" s="49">
        <f t="shared" ref="H128:H150" si="0">3600*G128*F128*E128*D128*C128</f>
        <v>169.2</v>
      </c>
      <c r="I128" s="45"/>
      <c r="J128" s="183">
        <v>3.8449999999999998E-2</v>
      </c>
      <c r="K128" s="49">
        <f t="shared" ref="K128:K150" si="1">3600*J128*F128*E128*D128*C128</f>
        <v>138.41999999999999</v>
      </c>
    </row>
    <row r="129" spans="1:11" ht="15.5">
      <c r="A129" s="182"/>
      <c r="B129" s="182"/>
      <c r="C129" s="182"/>
      <c r="D129" s="182"/>
      <c r="E129" s="182"/>
      <c r="F129" s="182"/>
      <c r="G129" s="182"/>
      <c r="H129" s="184"/>
      <c r="I129" s="185"/>
      <c r="J129" s="183"/>
      <c r="K129" s="49"/>
    </row>
    <row r="130" spans="1:11" ht="15.5">
      <c r="A130" s="182">
        <v>265.5</v>
      </c>
      <c r="B130" s="182">
        <v>800</v>
      </c>
      <c r="C130" s="182">
        <v>1</v>
      </c>
      <c r="D130" s="182">
        <v>1</v>
      </c>
      <c r="E130" s="182">
        <v>1</v>
      </c>
      <c r="F130" s="182">
        <v>1</v>
      </c>
      <c r="G130" s="182">
        <v>7.9799999999999996E-2</v>
      </c>
      <c r="H130" s="49">
        <f t="shared" si="0"/>
        <v>287.27999999999997</v>
      </c>
      <c r="I130" s="45"/>
      <c r="J130" s="183">
        <v>6.0299999999999999E-2</v>
      </c>
      <c r="K130" s="49">
        <f t="shared" si="1"/>
        <v>217.07999999999998</v>
      </c>
    </row>
    <row r="131" spans="1:11" ht="15.5">
      <c r="A131" s="44"/>
      <c r="B131" s="44"/>
      <c r="C131" s="44"/>
      <c r="D131" s="44"/>
      <c r="E131" s="44"/>
      <c r="F131" s="44"/>
      <c r="G131" s="44"/>
      <c r="H131" s="186"/>
      <c r="I131" s="185"/>
      <c r="J131" s="183"/>
      <c r="K131" s="49"/>
    </row>
    <row r="132" spans="1:11" ht="15.5">
      <c r="A132" s="186">
        <v>431.5</v>
      </c>
      <c r="B132" s="186">
        <v>1000</v>
      </c>
      <c r="C132" s="186">
        <v>0.91</v>
      </c>
      <c r="D132" s="186">
        <v>0.7</v>
      </c>
      <c r="E132" s="186">
        <v>1.6</v>
      </c>
      <c r="F132" s="186">
        <v>1.8</v>
      </c>
      <c r="G132" s="186">
        <v>0.12</v>
      </c>
      <c r="H132" s="49">
        <f>+G132*3600*F132*E132*D132*C132</f>
        <v>792.52992000000006</v>
      </c>
      <c r="I132" s="45"/>
      <c r="J132" s="183">
        <v>9.8299999999999998E-2</v>
      </c>
      <c r="K132" s="49">
        <f t="shared" si="1"/>
        <v>649.21409280000012</v>
      </c>
    </row>
    <row r="133" spans="1:11" ht="15.5">
      <c r="A133" s="187"/>
      <c r="B133" s="182"/>
      <c r="C133" s="182"/>
      <c r="D133" s="182"/>
      <c r="E133" s="182"/>
      <c r="F133" s="182"/>
      <c r="G133" s="182"/>
      <c r="H133" s="182"/>
      <c r="I133" s="185"/>
      <c r="J133" s="183"/>
      <c r="K133" s="49"/>
    </row>
    <row r="134" spans="1:11" ht="18">
      <c r="A134" s="199">
        <v>635.5</v>
      </c>
      <c r="B134" s="199">
        <v>1200</v>
      </c>
      <c r="C134" s="199">
        <v>0.91</v>
      </c>
      <c r="D134" s="199">
        <v>0.75</v>
      </c>
      <c r="E134" s="199">
        <v>1.6</v>
      </c>
      <c r="F134" s="199">
        <v>1.8</v>
      </c>
      <c r="G134" s="199">
        <v>0.17649999999999999</v>
      </c>
      <c r="H134" s="200">
        <f t="shared" si="0"/>
        <v>1248.9422400000001</v>
      </c>
      <c r="I134" s="45"/>
      <c r="J134" s="183">
        <v>0.14449999999999999</v>
      </c>
      <c r="K134" s="49">
        <f t="shared" si="1"/>
        <v>1022.5051200000001</v>
      </c>
    </row>
    <row r="135" spans="1:11" ht="15.5">
      <c r="A135" s="182"/>
      <c r="B135" s="182"/>
      <c r="C135" s="182"/>
      <c r="D135" s="182"/>
      <c r="E135" s="182"/>
      <c r="F135" s="182"/>
      <c r="G135" s="182"/>
      <c r="H135" s="49"/>
      <c r="I135" s="188"/>
      <c r="J135" s="183"/>
      <c r="K135" s="49"/>
    </row>
    <row r="136" spans="1:11" ht="15.5">
      <c r="A136" s="182">
        <v>871</v>
      </c>
      <c r="B136" s="182">
        <v>1400</v>
      </c>
      <c r="C136" s="182">
        <v>1</v>
      </c>
      <c r="D136" s="182">
        <v>1</v>
      </c>
      <c r="E136" s="182">
        <v>1</v>
      </c>
      <c r="F136" s="182">
        <v>1</v>
      </c>
      <c r="G136" s="182">
        <v>0.24199999999999999</v>
      </c>
      <c r="H136" s="49">
        <f t="shared" si="0"/>
        <v>871.19999999999993</v>
      </c>
      <c r="I136" s="189"/>
      <c r="J136" s="183">
        <v>0.2</v>
      </c>
      <c r="K136" s="49">
        <f t="shared" si="1"/>
        <v>720</v>
      </c>
    </row>
    <row r="137" spans="1:11" ht="15.5">
      <c r="A137" s="182"/>
      <c r="B137" s="182"/>
      <c r="C137" s="182"/>
      <c r="D137" s="182"/>
      <c r="E137" s="182"/>
      <c r="F137" s="182"/>
      <c r="G137" s="182"/>
      <c r="H137" s="49"/>
      <c r="I137" s="188"/>
      <c r="J137" s="183"/>
      <c r="K137" s="49"/>
    </row>
    <row r="138" spans="1:11" ht="15.5">
      <c r="A138" s="182">
        <v>1168</v>
      </c>
      <c r="B138" s="182">
        <v>1600</v>
      </c>
      <c r="C138" s="182">
        <v>1</v>
      </c>
      <c r="D138" s="182">
        <v>1</v>
      </c>
      <c r="E138" s="182">
        <v>1</v>
      </c>
      <c r="F138" s="182">
        <v>1</v>
      </c>
      <c r="G138" s="182">
        <v>0.32450000000000001</v>
      </c>
      <c r="H138" s="49">
        <f t="shared" si="0"/>
        <v>1168.2</v>
      </c>
      <c r="I138" s="189"/>
      <c r="J138" s="183">
        <v>0.26450000000000001</v>
      </c>
      <c r="K138" s="49">
        <f t="shared" si="1"/>
        <v>952.2</v>
      </c>
    </row>
    <row r="139" spans="1:11" ht="15.5">
      <c r="A139" s="182"/>
      <c r="B139" s="182"/>
      <c r="C139" s="182"/>
      <c r="D139" s="182"/>
      <c r="E139" s="182"/>
      <c r="F139" s="182"/>
      <c r="G139" s="182"/>
      <c r="H139" s="49"/>
      <c r="I139" s="188"/>
      <c r="J139" s="183"/>
      <c r="K139" s="49"/>
    </row>
    <row r="140" spans="1:11" ht="15.5">
      <c r="A140" s="182">
        <v>1493.5</v>
      </c>
      <c r="B140" s="182">
        <v>1800</v>
      </c>
      <c r="C140" s="182">
        <v>1</v>
      </c>
      <c r="D140" s="182">
        <v>1</v>
      </c>
      <c r="E140" s="182">
        <v>1</v>
      </c>
      <c r="F140" s="182">
        <v>1</v>
      </c>
      <c r="G140" s="182">
        <v>0.41499999999999998</v>
      </c>
      <c r="H140" s="49">
        <f t="shared" si="0"/>
        <v>1494</v>
      </c>
      <c r="I140" s="189"/>
      <c r="J140" s="183">
        <v>0.33800000000000002</v>
      </c>
      <c r="K140" s="49">
        <f t="shared" si="1"/>
        <v>1216.8000000000002</v>
      </c>
    </row>
    <row r="141" spans="1:11" ht="15.5">
      <c r="A141" s="182"/>
      <c r="B141" s="182"/>
      <c r="C141" s="182"/>
      <c r="D141" s="182"/>
      <c r="E141" s="182"/>
      <c r="F141" s="182"/>
      <c r="G141" s="182"/>
      <c r="H141" s="49"/>
      <c r="I141" s="188"/>
      <c r="J141" s="183"/>
      <c r="K141" s="49"/>
    </row>
    <row r="142" spans="1:11" ht="15.5">
      <c r="A142" s="182">
        <v>1853.5</v>
      </c>
      <c r="B142" s="182">
        <v>2000</v>
      </c>
      <c r="C142" s="182">
        <v>1</v>
      </c>
      <c r="D142" s="182">
        <v>1</v>
      </c>
      <c r="E142" s="182">
        <v>1</v>
      </c>
      <c r="F142" s="182">
        <v>1</v>
      </c>
      <c r="G142" s="182">
        <v>0.51500000000000001</v>
      </c>
      <c r="H142" s="49">
        <f t="shared" si="0"/>
        <v>1854</v>
      </c>
      <c r="I142" s="189"/>
      <c r="J142" s="183">
        <v>0.42049999999999998</v>
      </c>
      <c r="K142" s="49">
        <f t="shared" si="1"/>
        <v>1513.8</v>
      </c>
    </row>
    <row r="143" spans="1:11" ht="15.5">
      <c r="A143" s="182"/>
      <c r="B143" s="182"/>
      <c r="C143" s="182"/>
      <c r="D143" s="182"/>
      <c r="E143" s="182"/>
      <c r="F143" s="182"/>
      <c r="G143" s="182"/>
      <c r="H143" s="49"/>
      <c r="I143" s="188"/>
      <c r="J143" s="183"/>
      <c r="K143" s="49"/>
    </row>
    <row r="144" spans="1:11" ht="15.5">
      <c r="A144" s="190" t="s">
        <v>122</v>
      </c>
      <c r="B144" s="191">
        <v>2200</v>
      </c>
      <c r="C144" s="191">
        <v>1</v>
      </c>
      <c r="D144" s="191">
        <v>1</v>
      </c>
      <c r="E144" s="191">
        <v>1</v>
      </c>
      <c r="F144" s="191">
        <v>1</v>
      </c>
      <c r="G144" s="191">
        <v>0.63049999999999995</v>
      </c>
      <c r="H144" s="192">
        <f t="shared" si="0"/>
        <v>2269.7999999999997</v>
      </c>
      <c r="I144" s="193"/>
      <c r="J144" s="194"/>
      <c r="K144" s="192">
        <f t="shared" si="1"/>
        <v>0</v>
      </c>
    </row>
    <row r="145" spans="1:11" ht="15.5">
      <c r="A145" s="190"/>
      <c r="B145" s="191"/>
      <c r="C145" s="191"/>
      <c r="D145" s="191"/>
      <c r="E145" s="191"/>
      <c r="F145" s="191"/>
      <c r="G145" s="191"/>
      <c r="H145" s="191"/>
      <c r="I145" s="195"/>
      <c r="J145" s="194"/>
      <c r="K145" s="192"/>
    </row>
    <row r="146" spans="1:11" ht="15.5">
      <c r="A146" s="190" t="s">
        <v>122</v>
      </c>
      <c r="B146" s="191">
        <v>2400</v>
      </c>
      <c r="C146" s="191">
        <v>1</v>
      </c>
      <c r="D146" s="191">
        <v>1</v>
      </c>
      <c r="E146" s="191">
        <v>1</v>
      </c>
      <c r="F146" s="191">
        <v>1</v>
      </c>
      <c r="G146" s="191">
        <v>0.75</v>
      </c>
      <c r="H146" s="192">
        <f t="shared" si="0"/>
        <v>2700</v>
      </c>
      <c r="I146" s="193"/>
      <c r="J146" s="194"/>
      <c r="K146" s="192">
        <f t="shared" si="1"/>
        <v>0</v>
      </c>
    </row>
    <row r="147" spans="1:11" ht="15.5">
      <c r="A147" s="190" t="s">
        <v>122</v>
      </c>
      <c r="B147" s="191"/>
      <c r="C147" s="191"/>
      <c r="D147" s="191"/>
      <c r="E147" s="191"/>
      <c r="F147" s="191"/>
      <c r="G147" s="191"/>
      <c r="H147" s="192"/>
      <c r="I147" s="195"/>
      <c r="J147" s="194"/>
      <c r="K147" s="192"/>
    </row>
    <row r="148" spans="1:11" ht="15.5">
      <c r="A148" s="190" t="s">
        <v>122</v>
      </c>
      <c r="B148" s="191">
        <v>2600</v>
      </c>
      <c r="C148" s="191">
        <v>1</v>
      </c>
      <c r="D148" s="191">
        <v>1</v>
      </c>
      <c r="E148" s="191">
        <v>1</v>
      </c>
      <c r="F148" s="191">
        <v>1</v>
      </c>
      <c r="G148" s="191">
        <v>0.88749999999999996</v>
      </c>
      <c r="H148" s="192">
        <f t="shared" si="0"/>
        <v>3195</v>
      </c>
      <c r="I148" s="193"/>
      <c r="J148" s="194"/>
      <c r="K148" s="192">
        <f t="shared" si="1"/>
        <v>0</v>
      </c>
    </row>
    <row r="149" spans="1:11" ht="15.5">
      <c r="A149" s="190" t="s">
        <v>122</v>
      </c>
      <c r="B149" s="191"/>
      <c r="C149" s="191"/>
      <c r="D149" s="191"/>
      <c r="E149" s="191"/>
      <c r="F149" s="191"/>
      <c r="G149" s="191"/>
      <c r="H149" s="192"/>
      <c r="I149" s="195"/>
      <c r="J149" s="194"/>
      <c r="K149" s="192"/>
    </row>
    <row r="150" spans="1:11" ht="15.5">
      <c r="A150" s="190" t="s">
        <v>122</v>
      </c>
      <c r="B150" s="191">
        <v>2800</v>
      </c>
      <c r="C150" s="191">
        <v>1</v>
      </c>
      <c r="D150" s="191">
        <v>1</v>
      </c>
      <c r="E150" s="191">
        <v>1</v>
      </c>
      <c r="F150" s="191">
        <v>1</v>
      </c>
      <c r="G150" s="191">
        <v>1.0269999999999999</v>
      </c>
      <c r="H150" s="192">
        <f t="shared" si="0"/>
        <v>3697.2</v>
      </c>
      <c r="I150" s="193"/>
      <c r="J150" s="196"/>
      <c r="K150" s="192">
        <f t="shared" si="1"/>
        <v>0</v>
      </c>
    </row>
    <row r="153" spans="1:11" ht="18">
      <c r="A153" s="56" t="s">
        <v>137</v>
      </c>
      <c r="B153" s="55"/>
    </row>
    <row r="156" spans="1:11" ht="46.5">
      <c r="A156" s="61" t="s">
        <v>138</v>
      </c>
      <c r="B156" s="61" t="s">
        <v>139</v>
      </c>
      <c r="C156" s="174" t="s">
        <v>140</v>
      </c>
      <c r="D156" s="59"/>
      <c r="E156" s="47"/>
      <c r="F156" s="59"/>
      <c r="G156" s="57"/>
      <c r="H156" s="57"/>
    </row>
    <row r="157" spans="1:11" ht="17.5">
      <c r="A157" s="12">
        <v>1</v>
      </c>
      <c r="B157" s="44" t="s">
        <v>141</v>
      </c>
      <c r="C157" s="12">
        <v>1</v>
      </c>
      <c r="D157" s="58"/>
      <c r="E157" s="8"/>
      <c r="F157" s="58"/>
    </row>
    <row r="158" spans="1:11" ht="17.5">
      <c r="A158" s="12">
        <v>2</v>
      </c>
      <c r="B158" s="44" t="s">
        <v>142</v>
      </c>
      <c r="C158" s="12">
        <v>0.5</v>
      </c>
      <c r="D158" s="58"/>
      <c r="E158" s="8"/>
      <c r="F158" s="58"/>
    </row>
    <row r="159" spans="1:11" ht="17.5">
      <c r="A159" s="12">
        <v>3</v>
      </c>
      <c r="B159" s="44" t="s">
        <v>143</v>
      </c>
      <c r="C159" s="12">
        <v>2.2000000000000002</v>
      </c>
      <c r="D159" s="58"/>
      <c r="E159" s="8"/>
      <c r="F159" s="58"/>
    </row>
    <row r="160" spans="1:11" ht="17.5">
      <c r="A160" s="12">
        <v>4</v>
      </c>
      <c r="B160" s="44" t="s">
        <v>144</v>
      </c>
      <c r="C160" s="12">
        <v>1.6</v>
      </c>
      <c r="D160" s="58"/>
      <c r="E160" s="8"/>
      <c r="F160" s="58"/>
    </row>
    <row r="161" spans="1:6" ht="17.5">
      <c r="A161" s="12">
        <v>5</v>
      </c>
      <c r="B161" s="44" t="s">
        <v>145</v>
      </c>
      <c r="C161" s="12">
        <v>1.3</v>
      </c>
      <c r="D161" s="58"/>
      <c r="E161" s="8"/>
      <c r="F161" s="58"/>
    </row>
    <row r="162" spans="1:6" ht="17.5">
      <c r="A162" s="12">
        <v>6</v>
      </c>
      <c r="B162" s="44" t="s">
        <v>146</v>
      </c>
      <c r="C162" s="12">
        <v>1.5</v>
      </c>
      <c r="D162" s="58"/>
      <c r="E162" s="8"/>
      <c r="F162" s="58"/>
    </row>
    <row r="163" spans="1:6" ht="17.5">
      <c r="A163" s="12">
        <v>7</v>
      </c>
      <c r="B163" s="44" t="s">
        <v>147</v>
      </c>
      <c r="C163" s="12">
        <v>1</v>
      </c>
      <c r="D163" s="58"/>
      <c r="E163" s="8"/>
      <c r="F163" s="58"/>
    </row>
    <row r="164" spans="1:6" ht="17.5">
      <c r="A164" s="12">
        <v>8</v>
      </c>
      <c r="B164" s="44" t="s">
        <v>148</v>
      </c>
      <c r="C164" s="12">
        <v>1.8</v>
      </c>
      <c r="D164" s="58"/>
      <c r="E164" s="8"/>
      <c r="F164" s="58"/>
    </row>
    <row r="165" spans="1:6" ht="17.5">
      <c r="A165" s="12">
        <v>9</v>
      </c>
      <c r="B165" s="44" t="s">
        <v>149</v>
      </c>
      <c r="C165" s="12">
        <v>1.4</v>
      </c>
      <c r="D165" s="58"/>
      <c r="E165" s="8"/>
      <c r="F165" s="58"/>
    </row>
    <row r="166" spans="1:6" ht="17.5">
      <c r="A166" s="12">
        <v>10</v>
      </c>
      <c r="B166" s="44" t="s">
        <v>150</v>
      </c>
      <c r="C166" s="12">
        <v>1</v>
      </c>
      <c r="D166" s="58"/>
      <c r="E166" s="8"/>
      <c r="F166" s="58"/>
    </row>
    <row r="167" spans="1:6" ht="17.5">
      <c r="A167" s="12">
        <v>11</v>
      </c>
      <c r="B167" s="44" t="s">
        <v>151</v>
      </c>
      <c r="C167" s="12">
        <v>1.5</v>
      </c>
      <c r="D167" s="58"/>
      <c r="E167" s="8"/>
      <c r="F167" s="58"/>
    </row>
    <row r="168" spans="1:6" ht="17.5">
      <c r="A168" s="12">
        <v>12</v>
      </c>
      <c r="B168" s="44" t="s">
        <v>152</v>
      </c>
      <c r="C168" s="12">
        <v>0.57999999999999996</v>
      </c>
      <c r="D168" s="58"/>
      <c r="E168" s="8"/>
      <c r="F168" s="58"/>
    </row>
    <row r="169" spans="1:6" ht="17.5">
      <c r="A169" s="12">
        <v>13</v>
      </c>
      <c r="B169" s="44" t="s">
        <v>153</v>
      </c>
      <c r="C169" s="12">
        <v>0.65</v>
      </c>
      <c r="D169" s="58"/>
      <c r="E169" s="8"/>
      <c r="F169" s="58"/>
    </row>
    <row r="170" spans="1:6" ht="17.5">
      <c r="A170" s="12">
        <v>14</v>
      </c>
      <c r="B170" s="44" t="s">
        <v>154</v>
      </c>
      <c r="C170" s="12">
        <v>0.4</v>
      </c>
      <c r="D170" s="58"/>
      <c r="E170" s="8"/>
      <c r="F170" s="58"/>
    </row>
    <row r="171" spans="1:6" ht="17.5">
      <c r="A171" s="12">
        <v>15</v>
      </c>
      <c r="B171" s="44" t="s">
        <v>155</v>
      </c>
      <c r="C171" s="12">
        <v>1.6</v>
      </c>
      <c r="D171" s="58"/>
      <c r="E171" s="8"/>
      <c r="F171" s="58"/>
    </row>
    <row r="172" spans="1:6" ht="15.5">
      <c r="A172" s="12"/>
      <c r="B172" s="12"/>
      <c r="C172" s="12"/>
      <c r="D172" s="8"/>
      <c r="E172" s="8"/>
      <c r="F172" s="8"/>
    </row>
    <row r="174" spans="1:6" ht="18">
      <c r="A174" s="60" t="s">
        <v>162</v>
      </c>
      <c r="B174" s="42"/>
      <c r="C174" s="42"/>
      <c r="D174" s="42"/>
    </row>
    <row r="177" spans="1:1">
      <c r="A177">
        <v>0.09</v>
      </c>
    </row>
    <row r="178" spans="1:1">
      <c r="A178">
        <v>0.12</v>
      </c>
    </row>
    <row r="179" spans="1:1">
      <c r="A179">
        <v>0.18</v>
      </c>
    </row>
    <row r="180" spans="1:1">
      <c r="A180">
        <v>0.25</v>
      </c>
    </row>
    <row r="181" spans="1:1">
      <c r="A181">
        <v>0.37</v>
      </c>
    </row>
    <row r="182" spans="1:1">
      <c r="A182">
        <v>0.55000000000000004</v>
      </c>
    </row>
    <row r="183" spans="1:1">
      <c r="A183">
        <v>0.75</v>
      </c>
    </row>
    <row r="184" spans="1:1">
      <c r="A184">
        <v>1.1000000000000001</v>
      </c>
    </row>
    <row r="185" spans="1:1">
      <c r="A185">
        <v>1.5</v>
      </c>
    </row>
    <row r="186" spans="1:1">
      <c r="A186">
        <v>2.2000000000000002</v>
      </c>
    </row>
    <row r="187" spans="1:1">
      <c r="A187">
        <v>3.7</v>
      </c>
    </row>
    <row r="188" spans="1:1">
      <c r="A188">
        <v>5.5</v>
      </c>
    </row>
    <row r="189" spans="1:1">
      <c r="A189">
        <v>7.5</v>
      </c>
    </row>
    <row r="190" spans="1:1">
      <c r="A190">
        <v>9.3000000000000007</v>
      </c>
    </row>
    <row r="191" spans="1:1">
      <c r="A191">
        <v>11</v>
      </c>
    </row>
    <row r="192" spans="1:1">
      <c r="A192">
        <v>15</v>
      </c>
    </row>
    <row r="193" spans="1:1">
      <c r="A193">
        <v>18.5</v>
      </c>
    </row>
    <row r="194" spans="1:1">
      <c r="A194">
        <v>22</v>
      </c>
    </row>
    <row r="195" spans="1:1">
      <c r="A195">
        <v>30</v>
      </c>
    </row>
    <row r="196" spans="1:1">
      <c r="A196">
        <v>37</v>
      </c>
    </row>
    <row r="197" spans="1:1">
      <c r="A197">
        <v>45</v>
      </c>
    </row>
    <row r="198" spans="1:1">
      <c r="A198">
        <v>55</v>
      </c>
    </row>
    <row r="199" spans="1:1">
      <c r="A199">
        <v>75</v>
      </c>
    </row>
    <row r="200" spans="1:1">
      <c r="A200">
        <v>90</v>
      </c>
    </row>
    <row r="201" spans="1:1">
      <c r="A201">
        <v>110</v>
      </c>
    </row>
    <row r="202" spans="1:1">
      <c r="A202">
        <v>125</v>
      </c>
    </row>
    <row r="203" spans="1:1">
      <c r="A203">
        <v>160</v>
      </c>
    </row>
    <row r="204" spans="1:1">
      <c r="A204">
        <v>180</v>
      </c>
    </row>
    <row r="205" spans="1:1">
      <c r="A205">
        <v>200</v>
      </c>
    </row>
  </sheetData>
  <mergeCells count="13">
    <mergeCell ref="I7:J7"/>
    <mergeCell ref="G5:H5"/>
    <mergeCell ref="I5:J5"/>
    <mergeCell ref="M5:V5"/>
    <mergeCell ref="I6:J6"/>
    <mergeCell ref="N6:V6"/>
    <mergeCell ref="N26:V26"/>
    <mergeCell ref="I8:J8"/>
    <mergeCell ref="I10:J10"/>
    <mergeCell ref="I11:J11"/>
    <mergeCell ref="I12:J12"/>
    <mergeCell ref="I13:J13"/>
    <mergeCell ref="M25:V25"/>
  </mergeCells>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4BB3C-B2C4-4F29-AA54-6C4810FAAE9F}">
  <dimension ref="A4:M10"/>
  <sheetViews>
    <sheetView zoomScale="75" workbookViewId="0">
      <selection activeCell="H5" sqref="H5"/>
    </sheetView>
  </sheetViews>
  <sheetFormatPr defaultRowHeight="12.5"/>
  <cols>
    <col min="2" max="2" width="18.54296875" customWidth="1"/>
    <col min="3" max="3" width="13.26953125" customWidth="1"/>
    <col min="4" max="4" width="12.7265625" customWidth="1"/>
    <col min="6" max="6" width="11.453125" customWidth="1"/>
    <col min="7" max="7" width="11.81640625" customWidth="1"/>
    <col min="8" max="8" width="10.54296875" bestFit="1" customWidth="1"/>
    <col min="9" max="9" width="18" customWidth="1"/>
    <col min="10" max="10" width="15.1796875" customWidth="1"/>
    <col min="11" max="12" width="12.81640625" customWidth="1"/>
    <col min="13" max="13" width="11.453125" customWidth="1"/>
  </cols>
  <sheetData>
    <row r="4" spans="1:13" ht="90.75" customHeight="1">
      <c r="A4" s="50" t="s">
        <v>71</v>
      </c>
      <c r="B4" s="50" t="s">
        <v>70</v>
      </c>
      <c r="C4" s="50" t="s">
        <v>109</v>
      </c>
      <c r="D4" s="175" t="s">
        <v>67</v>
      </c>
      <c r="E4" s="175" t="s">
        <v>61</v>
      </c>
      <c r="F4" s="175" t="s">
        <v>68</v>
      </c>
      <c r="G4" s="50" t="s">
        <v>69</v>
      </c>
      <c r="H4" s="50" t="s">
        <v>62</v>
      </c>
      <c r="I4" s="175" t="s">
        <v>334</v>
      </c>
      <c r="J4" s="175" t="s">
        <v>335</v>
      </c>
      <c r="K4" s="175" t="s">
        <v>336</v>
      </c>
      <c r="L4" s="175" t="s">
        <v>337</v>
      </c>
      <c r="M4" s="175" t="s">
        <v>338</v>
      </c>
    </row>
    <row r="5" spans="1:13" ht="15.5">
      <c r="A5" s="11">
        <v>1</v>
      </c>
      <c r="B5" s="32" t="s">
        <v>339</v>
      </c>
      <c r="C5" s="11">
        <f>'INPUT SHEET'!E5</f>
        <v>60</v>
      </c>
      <c r="D5" s="11">
        <f>ROUNDUP(+(C5-0.5*F5-E5-I5-J5)/1,0)</f>
        <v>45</v>
      </c>
      <c r="E5" s="11">
        <f>ROUNDUP((+C5-5-5)/15,0)+1</f>
        <v>5</v>
      </c>
      <c r="F5" s="11">
        <v>12</v>
      </c>
      <c r="G5" s="11">
        <f>ROUNDUP(+C5/3,0)-H5</f>
        <v>15</v>
      </c>
      <c r="H5" s="11">
        <f>ROUNDUP((+C5-5-5)/15,0)+1</f>
        <v>5</v>
      </c>
      <c r="I5" s="198">
        <v>2</v>
      </c>
      <c r="J5" s="198">
        <v>2</v>
      </c>
      <c r="K5" s="11">
        <f>ROUNDUP((+C5-5-5)/30,0)+1</f>
        <v>3</v>
      </c>
      <c r="L5" s="11">
        <f>ROUNDUP((+C5-5-5)/30,0)+1</f>
        <v>3</v>
      </c>
      <c r="M5" s="198">
        <v>1</v>
      </c>
    </row>
    <row r="6" spans="1:13" ht="15.5">
      <c r="C6" s="3"/>
      <c r="D6" s="3"/>
      <c r="E6" s="3"/>
      <c r="F6" s="3"/>
      <c r="G6" s="3"/>
      <c r="H6" s="3"/>
    </row>
    <row r="7" spans="1:13" ht="15.5">
      <c r="A7" s="13"/>
      <c r="B7" s="3"/>
      <c r="C7" s="3"/>
      <c r="D7" s="3"/>
      <c r="E7" s="3"/>
      <c r="F7" s="3"/>
      <c r="G7" s="3"/>
      <c r="H7" s="3"/>
    </row>
    <row r="8" spans="1:13" ht="15.5">
      <c r="A8" s="13"/>
      <c r="B8" s="3"/>
      <c r="C8" s="3"/>
      <c r="D8" s="3"/>
      <c r="E8" s="3"/>
      <c r="F8" s="3"/>
      <c r="G8" s="3"/>
      <c r="H8" s="3"/>
    </row>
    <row r="9" spans="1:13" ht="15.5">
      <c r="A9" s="13"/>
      <c r="B9" s="3"/>
      <c r="C9" s="3"/>
      <c r="D9" s="3"/>
      <c r="E9" s="3"/>
      <c r="F9" s="3"/>
      <c r="G9" s="3"/>
      <c r="H9" s="3"/>
    </row>
    <row r="10" spans="1:13" ht="15.5">
      <c r="A10" s="2"/>
      <c r="B10" s="2"/>
      <c r="C10" s="2"/>
      <c r="D10" s="2"/>
      <c r="E10" s="2"/>
      <c r="F10" s="2"/>
      <c r="G10" s="2"/>
      <c r="H10" s="2"/>
    </row>
  </sheetData>
  <phoneticPr fontId="0" type="noConversion"/>
  <pageMargins left="0.75" right="0.75" top="1" bottom="1" header="0.5" footer="0.5"/>
  <pageSetup orientation="portrait" horizontalDpi="120" verticalDpi="144"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F3E3-9961-4353-9FC7-0175F57C2E4F}">
  <sheetPr codeName="Sheet1"/>
  <dimension ref="A1:O374"/>
  <sheetViews>
    <sheetView tabSelected="1" zoomScale="57" zoomScaleNormal="100" workbookViewId="0">
      <selection activeCell="H9" sqref="H9"/>
    </sheetView>
  </sheetViews>
  <sheetFormatPr defaultRowHeight="12.5"/>
  <cols>
    <col min="1" max="1" width="74.81640625" customWidth="1"/>
    <col min="2" max="2" width="45.26953125" customWidth="1"/>
    <col min="3" max="3" width="55.81640625" customWidth="1"/>
    <col min="4" max="4" width="18.453125" customWidth="1"/>
  </cols>
  <sheetData>
    <row r="1" spans="1:15" ht="25">
      <c r="A1" s="66" t="s">
        <v>134</v>
      </c>
      <c r="B1" s="201" t="str">
        <f>'INPUT SHEET'!B5</f>
        <v>BC-603</v>
      </c>
      <c r="C1" s="150"/>
      <c r="E1" s="67"/>
      <c r="F1" s="1"/>
      <c r="G1" s="1"/>
      <c r="H1" s="1"/>
    </row>
    <row r="2" spans="1:15" ht="21.5">
      <c r="A2" s="149" t="s">
        <v>277</v>
      </c>
      <c r="B2" s="68"/>
      <c r="C2" s="67"/>
      <c r="D2" s="67"/>
      <c r="E2" s="67"/>
      <c r="F2" s="1"/>
      <c r="G2" s="1"/>
      <c r="H2" s="1"/>
    </row>
    <row r="3" spans="1:15" ht="16.5">
      <c r="A3" s="65"/>
      <c r="B3" s="69"/>
      <c r="C3" s="67"/>
      <c r="D3" s="67"/>
      <c r="E3" s="67"/>
      <c r="F3" s="1"/>
      <c r="G3" s="1"/>
      <c r="H3" s="1"/>
    </row>
    <row r="4" spans="1:15" ht="19.5">
      <c r="A4" s="86" t="s">
        <v>127</v>
      </c>
      <c r="B4" s="162"/>
      <c r="C4" s="168" t="s">
        <v>124</v>
      </c>
      <c r="D4" s="166"/>
      <c r="E4" s="70"/>
      <c r="F4" s="67"/>
      <c r="G4" s="67"/>
      <c r="H4" s="67"/>
      <c r="I4" s="65"/>
      <c r="J4" s="65"/>
      <c r="K4" s="65"/>
      <c r="L4" s="65"/>
      <c r="M4" s="65"/>
      <c r="N4" s="65"/>
    </row>
    <row r="5" spans="1:15" ht="19.5">
      <c r="A5" s="87" t="s">
        <v>377</v>
      </c>
      <c r="B5" s="148">
        <v>1.2</v>
      </c>
      <c r="C5" s="169">
        <f>'DATA BANK'!H132</f>
        <v>792.52992000000006</v>
      </c>
      <c r="D5" s="167"/>
      <c r="E5" s="65"/>
      <c r="F5" s="67"/>
      <c r="G5" s="67"/>
      <c r="H5" s="67"/>
      <c r="I5" s="65"/>
      <c r="J5" s="65"/>
      <c r="K5" s="65"/>
      <c r="L5" s="65"/>
      <c r="M5" s="65"/>
      <c r="N5" s="65"/>
      <c r="O5" s="213"/>
    </row>
    <row r="6" spans="1:15" ht="18">
      <c r="A6" s="87" t="s">
        <v>0</v>
      </c>
      <c r="B6" s="148">
        <f>B5*'INPUT SHEET'!C5</f>
        <v>1800</v>
      </c>
      <c r="C6" s="88"/>
      <c r="D6" s="167"/>
      <c r="E6" s="65"/>
      <c r="F6" s="67"/>
      <c r="G6" s="67"/>
      <c r="H6" s="67"/>
      <c r="I6" s="65"/>
      <c r="J6" s="65"/>
      <c r="K6" s="65"/>
      <c r="L6" s="65"/>
      <c r="M6" s="65"/>
      <c r="N6" s="65"/>
      <c r="O6" s="213"/>
    </row>
    <row r="7" spans="1:15" ht="20.25" customHeight="1">
      <c r="A7" s="86" t="s">
        <v>128</v>
      </c>
      <c r="B7" s="163">
        <v>1</v>
      </c>
      <c r="C7" s="134" t="s">
        <v>110</v>
      </c>
      <c r="D7" s="89"/>
      <c r="E7" s="65"/>
      <c r="F7" s="65"/>
      <c r="G7" s="65"/>
      <c r="H7" s="65"/>
      <c r="I7" s="65"/>
      <c r="J7" s="65"/>
      <c r="K7" s="65"/>
      <c r="L7" s="65"/>
      <c r="M7" s="65"/>
      <c r="N7" s="65"/>
      <c r="O7" s="213"/>
    </row>
    <row r="8" spans="1:15" ht="18">
      <c r="A8" s="88" t="s">
        <v>183</v>
      </c>
      <c r="B8" s="164">
        <v>0.8</v>
      </c>
      <c r="C8" s="89"/>
      <c r="D8" s="89"/>
      <c r="E8" s="71"/>
      <c r="F8" s="65"/>
      <c r="G8" s="65"/>
      <c r="H8" s="65"/>
      <c r="I8" s="65"/>
      <c r="J8" s="65"/>
      <c r="K8" s="65"/>
      <c r="L8" s="65"/>
      <c r="M8" s="65"/>
      <c r="N8" s="65"/>
      <c r="O8" s="213"/>
    </row>
    <row r="9" spans="1:15" ht="19.5">
      <c r="A9" s="88" t="s">
        <v>185</v>
      </c>
      <c r="B9" s="148">
        <f>'INPUT SHEET'!E5</f>
        <v>60</v>
      </c>
      <c r="C9" s="88" t="s">
        <v>295</v>
      </c>
      <c r="D9" s="95">
        <f>+B59*B35</f>
        <v>152.73825600000001</v>
      </c>
      <c r="E9" s="65"/>
      <c r="F9" s="65"/>
      <c r="G9" s="65"/>
      <c r="H9" s="65"/>
      <c r="I9" s="65"/>
      <c r="J9" s="65"/>
      <c r="K9" s="65"/>
      <c r="L9" s="65"/>
      <c r="M9" s="65"/>
      <c r="N9" s="65"/>
      <c r="O9" s="213"/>
    </row>
    <row r="10" spans="1:15" ht="19.5">
      <c r="A10" s="88" t="s">
        <v>129</v>
      </c>
      <c r="B10" s="148">
        <f>'INPUT SHEET'!D5</f>
        <v>7</v>
      </c>
      <c r="C10" s="88" t="s">
        <v>296</v>
      </c>
      <c r="D10" s="95">
        <f>+B61*B35</f>
        <v>1961.1999999999998</v>
      </c>
      <c r="E10" s="65"/>
      <c r="F10" s="65"/>
      <c r="G10" s="65"/>
      <c r="H10" s="65"/>
      <c r="I10" s="65"/>
      <c r="J10" s="65"/>
      <c r="K10" s="65"/>
      <c r="L10" s="65"/>
      <c r="M10" s="65"/>
      <c r="N10" s="65"/>
      <c r="O10" s="213"/>
    </row>
    <row r="11" spans="1:15" ht="19.5">
      <c r="A11" s="88" t="s">
        <v>130</v>
      </c>
      <c r="B11" s="148">
        <f>'INPUT SHEET'!F5</f>
        <v>2.5</v>
      </c>
      <c r="C11" s="88" t="s">
        <v>297</v>
      </c>
      <c r="D11" s="87">
        <v>1</v>
      </c>
      <c r="E11" s="65"/>
      <c r="F11" s="65"/>
      <c r="G11" s="65"/>
      <c r="H11" s="65"/>
      <c r="I11" s="65"/>
      <c r="J11" s="65"/>
      <c r="K11" s="65"/>
      <c r="L11" s="65"/>
      <c r="M11" s="65"/>
      <c r="N11" s="65"/>
      <c r="O11" s="213"/>
    </row>
    <row r="12" spans="1:15" ht="19.5">
      <c r="A12" s="88" t="s">
        <v>184</v>
      </c>
      <c r="B12" s="148">
        <v>800</v>
      </c>
      <c r="C12" s="129" t="s">
        <v>298</v>
      </c>
      <c r="D12" s="133">
        <f>+(D9+D10)*D11</f>
        <v>2113.9382559999999</v>
      </c>
      <c r="E12" s="65"/>
      <c r="F12" s="65"/>
      <c r="G12" s="65"/>
      <c r="H12" s="65"/>
      <c r="I12" s="65"/>
      <c r="J12" s="65"/>
      <c r="K12" s="65"/>
      <c r="L12" s="65"/>
      <c r="M12" s="65"/>
      <c r="N12" s="65"/>
      <c r="O12" s="213"/>
    </row>
    <row r="13" spans="1:15" ht="18">
      <c r="A13" s="88" t="s">
        <v>131</v>
      </c>
      <c r="B13" s="165" t="s">
        <v>1</v>
      </c>
      <c r="C13" s="88" t="s">
        <v>51</v>
      </c>
      <c r="D13" s="87">
        <v>1</v>
      </c>
      <c r="E13" s="65"/>
      <c r="F13" s="65"/>
      <c r="G13" s="65"/>
      <c r="H13" s="65"/>
      <c r="I13" s="65"/>
      <c r="J13" s="65"/>
      <c r="K13" s="65"/>
      <c r="L13" s="65"/>
      <c r="M13" s="65"/>
      <c r="N13" s="65"/>
      <c r="O13" s="213"/>
    </row>
    <row r="14" spans="1:15" ht="18">
      <c r="A14" s="88" t="s">
        <v>132</v>
      </c>
      <c r="B14" s="87">
        <f>'INPUT SHEET'!G5</f>
        <v>3</v>
      </c>
      <c r="C14" s="88" t="s">
        <v>52</v>
      </c>
      <c r="D14" s="87">
        <v>1.1499999999999999</v>
      </c>
      <c r="E14" s="65"/>
      <c r="F14" s="65"/>
      <c r="G14" s="65"/>
      <c r="H14" s="65"/>
      <c r="I14" s="65"/>
      <c r="J14" s="65"/>
      <c r="K14" s="65"/>
      <c r="L14" s="65"/>
      <c r="M14" s="65"/>
      <c r="N14" s="65"/>
      <c r="O14" s="213"/>
    </row>
    <row r="15" spans="1:15" ht="19.5">
      <c r="A15" s="90" t="s">
        <v>133</v>
      </c>
      <c r="B15" s="88"/>
      <c r="C15" s="88" t="s">
        <v>53</v>
      </c>
      <c r="D15" s="87">
        <v>1.2</v>
      </c>
      <c r="E15" s="65"/>
      <c r="F15" s="65"/>
      <c r="G15" s="65"/>
      <c r="H15" s="65"/>
      <c r="I15" s="65"/>
      <c r="J15" s="65"/>
      <c r="K15" s="65"/>
      <c r="L15" s="65"/>
      <c r="M15" s="65"/>
      <c r="N15" s="65"/>
      <c r="O15" s="213"/>
    </row>
    <row r="16" spans="1:15" ht="18">
      <c r="A16" s="91" t="s">
        <v>139</v>
      </c>
      <c r="B16" s="79" t="s">
        <v>156</v>
      </c>
      <c r="C16" s="88" t="s">
        <v>54</v>
      </c>
      <c r="D16" s="87">
        <v>0.9</v>
      </c>
      <c r="E16" s="65"/>
      <c r="F16" s="65"/>
      <c r="G16" s="65"/>
      <c r="H16" s="65"/>
      <c r="I16" s="65"/>
      <c r="J16" s="65"/>
      <c r="K16" s="65"/>
      <c r="L16" s="65"/>
      <c r="M16" s="65"/>
      <c r="N16" s="65"/>
      <c r="O16" s="213"/>
    </row>
    <row r="17" spans="1:15" ht="19.5">
      <c r="A17" s="92" t="s">
        <v>157</v>
      </c>
      <c r="B17" s="79" t="s">
        <v>161</v>
      </c>
      <c r="C17" s="129" t="s">
        <v>299</v>
      </c>
      <c r="D17" s="133">
        <f>+D12*D13*D14*D15*D16</f>
        <v>2625.5113139519995</v>
      </c>
      <c r="E17" s="65"/>
      <c r="F17" s="65"/>
      <c r="G17" s="65"/>
      <c r="H17" s="65"/>
      <c r="I17" s="65"/>
      <c r="J17" s="65"/>
      <c r="K17" s="65"/>
      <c r="L17" s="65"/>
      <c r="M17" s="65"/>
      <c r="N17" s="65"/>
      <c r="O17" s="213"/>
    </row>
    <row r="18" spans="1:15" ht="18">
      <c r="A18" s="92" t="s">
        <v>158</v>
      </c>
      <c r="B18" s="79">
        <v>8</v>
      </c>
      <c r="C18" s="89"/>
      <c r="E18" s="65"/>
      <c r="F18" s="65"/>
      <c r="G18" s="65"/>
      <c r="H18" s="65"/>
      <c r="I18" s="65"/>
      <c r="J18" s="65"/>
      <c r="K18" s="65"/>
      <c r="L18" s="65"/>
      <c r="M18" s="65"/>
      <c r="N18" s="65"/>
      <c r="O18" s="213"/>
    </row>
    <row r="19" spans="1:15" ht="19.5">
      <c r="A19" s="92" t="s">
        <v>159</v>
      </c>
      <c r="B19" s="79">
        <v>3</v>
      </c>
      <c r="C19" s="88" t="s">
        <v>55</v>
      </c>
      <c r="D19" s="154">
        <v>114.3</v>
      </c>
      <c r="E19" s="65"/>
      <c r="F19" s="65"/>
      <c r="G19" s="65"/>
      <c r="H19" s="65"/>
      <c r="I19" s="65"/>
      <c r="J19" s="65"/>
      <c r="K19" s="65"/>
      <c r="L19" s="65"/>
      <c r="M19" s="65"/>
      <c r="N19" s="65"/>
      <c r="O19" s="213"/>
    </row>
    <row r="20" spans="1:15" ht="19.5">
      <c r="A20" s="92" t="s">
        <v>160</v>
      </c>
      <c r="B20" s="88">
        <v>2</v>
      </c>
      <c r="C20" s="88" t="s">
        <v>112</v>
      </c>
      <c r="D20" s="133" t="s">
        <v>111</v>
      </c>
      <c r="E20" s="65"/>
      <c r="F20" s="65"/>
      <c r="G20" s="65"/>
      <c r="H20" s="65"/>
      <c r="I20" s="65" t="s">
        <v>357</v>
      </c>
      <c r="J20" s="65"/>
      <c r="K20" s="65" t="s">
        <v>90</v>
      </c>
      <c r="L20" s="65"/>
      <c r="M20" s="65"/>
      <c r="N20" s="65"/>
      <c r="O20" s="213"/>
    </row>
    <row r="21" spans="1:15" ht="19.5">
      <c r="A21" s="88"/>
      <c r="B21" s="93"/>
      <c r="C21" s="88" t="s">
        <v>113</v>
      </c>
      <c r="D21" s="154" t="s">
        <v>114</v>
      </c>
      <c r="E21" s="71"/>
      <c r="F21" s="71"/>
      <c r="G21" s="71"/>
      <c r="H21" s="65"/>
      <c r="I21" s="65"/>
      <c r="J21" s="65"/>
      <c r="K21" s="65"/>
      <c r="L21" s="65"/>
      <c r="M21" s="65"/>
      <c r="N21" s="65"/>
      <c r="O21" s="213"/>
    </row>
    <row r="22" spans="1:15" ht="21.5">
      <c r="A22" s="94" t="s">
        <v>168</v>
      </c>
      <c r="B22" s="95"/>
      <c r="C22" s="147" t="s">
        <v>300</v>
      </c>
      <c r="D22" s="155">
        <v>25</v>
      </c>
      <c r="E22" s="72"/>
      <c r="F22" s="71"/>
      <c r="G22" s="71"/>
      <c r="H22" s="65"/>
      <c r="I22" s="65"/>
      <c r="J22" s="65"/>
      <c r="K22" s="65"/>
      <c r="L22" s="65"/>
      <c r="M22" s="65"/>
      <c r="N22" s="65"/>
      <c r="O22" s="213"/>
    </row>
    <row r="23" spans="1:15" ht="21.5">
      <c r="A23" s="96"/>
      <c r="B23" s="95"/>
      <c r="C23" s="89"/>
      <c r="E23" s="72"/>
      <c r="F23" s="71"/>
      <c r="G23" s="71"/>
      <c r="H23" s="65"/>
      <c r="I23" s="65"/>
      <c r="J23" s="65"/>
      <c r="K23" s="65"/>
      <c r="L23" s="65"/>
      <c r="M23" s="65"/>
      <c r="N23" s="65"/>
      <c r="O23" s="213"/>
    </row>
    <row r="24" spans="1:15" ht="21.5">
      <c r="A24" s="97" t="s">
        <v>239</v>
      </c>
      <c r="B24" s="95"/>
      <c r="C24" s="65"/>
      <c r="D24" s="65"/>
      <c r="E24" s="72"/>
      <c r="F24" s="71"/>
      <c r="G24" s="71"/>
      <c r="H24" s="65"/>
      <c r="I24" s="65"/>
      <c r="J24" s="65"/>
      <c r="K24" s="65"/>
      <c r="L24" s="65"/>
      <c r="M24" s="65"/>
      <c r="N24" s="65"/>
      <c r="O24" s="213"/>
    </row>
    <row r="25" spans="1:15" ht="18">
      <c r="A25" s="88"/>
      <c r="B25" s="95"/>
      <c r="C25" s="65"/>
      <c r="D25" s="65"/>
      <c r="E25" s="72"/>
      <c r="F25" s="71"/>
      <c r="G25" s="71"/>
      <c r="H25" s="65"/>
      <c r="I25" s="65"/>
      <c r="J25" s="65"/>
      <c r="K25" s="65"/>
      <c r="L25" s="65"/>
      <c r="M25" s="65"/>
      <c r="N25" s="65"/>
      <c r="O25" s="213"/>
    </row>
    <row r="26" spans="1:15" ht="19.5">
      <c r="A26" s="85" t="s">
        <v>36</v>
      </c>
      <c r="B26" s="95"/>
      <c r="C26" s="74" t="s">
        <v>136</v>
      </c>
      <c r="D26" s="65"/>
      <c r="E26" s="72"/>
      <c r="F26" s="71"/>
      <c r="G26" s="71"/>
      <c r="H26" s="65"/>
      <c r="I26" s="65"/>
      <c r="J26" s="65"/>
      <c r="K26" s="65"/>
      <c r="L26" s="65"/>
      <c r="M26" s="65"/>
      <c r="N26" s="65"/>
      <c r="O26" s="213"/>
    </row>
    <row r="27" spans="1:15" ht="19.5">
      <c r="A27" s="85" t="s">
        <v>2</v>
      </c>
      <c r="B27" s="95"/>
      <c r="C27" s="65"/>
      <c r="D27" s="65"/>
      <c r="E27" s="72"/>
      <c r="F27" s="71"/>
      <c r="G27" s="71"/>
      <c r="H27" s="65"/>
      <c r="I27" s="65"/>
      <c r="J27" s="65"/>
      <c r="K27" s="65"/>
      <c r="L27" s="65"/>
      <c r="M27" s="65"/>
      <c r="N27" s="65"/>
    </row>
    <row r="28" spans="1:15" ht="19.5">
      <c r="A28" s="85"/>
      <c r="B28" s="95"/>
      <c r="C28" s="71" t="s">
        <v>295</v>
      </c>
      <c r="D28" s="159">
        <f>+D9</f>
        <v>152.73825600000001</v>
      </c>
      <c r="E28" s="72"/>
      <c r="F28" s="71"/>
      <c r="G28" s="71"/>
      <c r="H28" s="65"/>
      <c r="I28" s="65"/>
      <c r="J28" s="65"/>
      <c r="K28" s="65"/>
      <c r="L28" s="65"/>
      <c r="M28" s="65"/>
      <c r="N28" s="65"/>
    </row>
    <row r="29" spans="1:15" ht="21.5">
      <c r="A29" s="98" t="s">
        <v>316</v>
      </c>
      <c r="B29" s="95"/>
      <c r="C29" s="71" t="s">
        <v>297</v>
      </c>
      <c r="D29" s="72">
        <v>1</v>
      </c>
      <c r="E29" s="72"/>
      <c r="F29" s="71"/>
      <c r="G29" s="71"/>
      <c r="H29" s="65"/>
      <c r="I29" s="65"/>
      <c r="J29" s="65"/>
      <c r="K29" s="65"/>
      <c r="L29" s="65"/>
      <c r="M29" s="65"/>
      <c r="N29" s="65"/>
    </row>
    <row r="30" spans="1:15" ht="21.5">
      <c r="A30" s="99" t="s">
        <v>188</v>
      </c>
      <c r="B30" s="95"/>
      <c r="C30" s="73" t="s">
        <v>298</v>
      </c>
      <c r="D30" s="156">
        <f>+(D28)*D29</f>
        <v>152.73825600000001</v>
      </c>
      <c r="E30" s="72"/>
      <c r="F30" s="71"/>
      <c r="G30" s="71"/>
      <c r="H30" s="65"/>
      <c r="I30" s="65"/>
      <c r="J30" s="65"/>
      <c r="K30" s="65"/>
      <c r="L30" s="65"/>
      <c r="M30" s="65"/>
      <c r="N30" s="65"/>
    </row>
    <row r="31" spans="1:15" ht="19.5">
      <c r="A31" s="88" t="s">
        <v>315</v>
      </c>
      <c r="B31" s="95"/>
      <c r="C31" s="71" t="s">
        <v>51</v>
      </c>
      <c r="D31" s="72">
        <v>1.1000000000000001</v>
      </c>
      <c r="E31" s="72"/>
      <c r="F31" s="2"/>
      <c r="G31" s="2"/>
    </row>
    <row r="32" spans="1:15" ht="18">
      <c r="A32" s="88" t="s">
        <v>3</v>
      </c>
      <c r="B32" s="95"/>
      <c r="C32" s="71" t="s">
        <v>52</v>
      </c>
      <c r="D32" s="72">
        <v>1.1499999999999999</v>
      </c>
      <c r="E32" s="72"/>
      <c r="F32" s="2"/>
      <c r="G32" s="2"/>
    </row>
    <row r="33" spans="1:7" ht="18">
      <c r="A33" s="88" t="s">
        <v>4</v>
      </c>
      <c r="B33" s="177">
        <v>0.03</v>
      </c>
      <c r="C33" s="71" t="s">
        <v>53</v>
      </c>
      <c r="D33" s="72">
        <v>1.2</v>
      </c>
      <c r="E33" s="72"/>
      <c r="F33" s="2"/>
      <c r="G33" s="2"/>
    </row>
    <row r="34" spans="1:7" ht="18">
      <c r="A34" s="88" t="s">
        <v>5</v>
      </c>
      <c r="B34" s="87">
        <f>+B9</f>
        <v>60</v>
      </c>
      <c r="C34" s="71" t="s">
        <v>54</v>
      </c>
      <c r="D34" s="72">
        <v>1</v>
      </c>
      <c r="E34" s="71"/>
      <c r="F34" s="2"/>
      <c r="G34" s="2"/>
    </row>
    <row r="35" spans="1:7" ht="19.5">
      <c r="A35" s="88" t="s">
        <v>6</v>
      </c>
      <c r="B35" s="87">
        <v>9.8059999999999992</v>
      </c>
      <c r="C35" s="73" t="s">
        <v>301</v>
      </c>
      <c r="D35" s="156">
        <f>+D30*D31*D32*D33*D34</f>
        <v>231.856672608</v>
      </c>
      <c r="E35" s="71"/>
      <c r="F35" s="2"/>
      <c r="G35" s="2"/>
    </row>
    <row r="36" spans="1:7" ht="18">
      <c r="A36" s="101" t="s">
        <v>303</v>
      </c>
      <c r="B36" s="95">
        <v>7.73</v>
      </c>
      <c r="C36" s="65"/>
      <c r="E36" s="71"/>
      <c r="F36" s="2"/>
      <c r="G36" s="2"/>
    </row>
    <row r="37" spans="1:7" ht="19.5">
      <c r="A37" s="88" t="s">
        <v>186</v>
      </c>
      <c r="B37" s="102">
        <f>COS((B36*3.1417)/180)</f>
        <v>0.99091228880394566</v>
      </c>
      <c r="C37" s="71" t="s">
        <v>55</v>
      </c>
      <c r="D37" s="157">
        <v>114.3</v>
      </c>
      <c r="E37" s="71"/>
      <c r="F37" s="2"/>
      <c r="G37" s="2"/>
    </row>
    <row r="38" spans="1:7" ht="19.5">
      <c r="A38" s="85" t="s">
        <v>199</v>
      </c>
      <c r="B38" s="88"/>
      <c r="C38" s="71" t="s">
        <v>112</v>
      </c>
      <c r="D38" s="156" t="s">
        <v>111</v>
      </c>
      <c r="E38" s="71"/>
      <c r="F38" s="2"/>
      <c r="G38" s="2"/>
    </row>
    <row r="39" spans="1:7" ht="19.5">
      <c r="A39" s="103" t="s">
        <v>7</v>
      </c>
      <c r="B39" s="104">
        <v>139.69999999999999</v>
      </c>
      <c r="C39" s="71" t="s">
        <v>113</v>
      </c>
      <c r="D39" s="157" t="s">
        <v>114</v>
      </c>
      <c r="E39" s="71"/>
      <c r="F39" s="2"/>
      <c r="G39" s="2"/>
    </row>
    <row r="40" spans="1:7" ht="19.5">
      <c r="A40" s="88" t="s">
        <v>72</v>
      </c>
      <c r="B40" s="87">
        <f>'IDLER DETAILS'!D5+'IDLER DETAILS'!E5</f>
        <v>50</v>
      </c>
      <c r="C40" s="78" t="s">
        <v>56</v>
      </c>
      <c r="D40" s="158">
        <v>25</v>
      </c>
      <c r="E40" s="71"/>
      <c r="F40" s="2"/>
      <c r="G40" s="2"/>
    </row>
    <row r="41" spans="1:7" ht="18">
      <c r="A41" s="88" t="s">
        <v>80</v>
      </c>
      <c r="B41" s="87">
        <v>141</v>
      </c>
      <c r="C41" s="65"/>
      <c r="E41" s="71"/>
      <c r="F41" s="2"/>
      <c r="G41" s="2"/>
    </row>
    <row r="42" spans="1:7" ht="18">
      <c r="A42" s="88" t="s">
        <v>169</v>
      </c>
      <c r="B42" s="87">
        <f>3*B41</f>
        <v>423</v>
      </c>
      <c r="C42" s="65"/>
      <c r="D42" s="65"/>
      <c r="E42" s="71"/>
      <c r="F42" s="2"/>
      <c r="G42" s="2"/>
    </row>
    <row r="43" spans="1:7" ht="18">
      <c r="A43" s="103" t="s">
        <v>170</v>
      </c>
      <c r="B43" s="104">
        <f>B39</f>
        <v>139.69999999999999</v>
      </c>
      <c r="C43" s="65"/>
      <c r="D43" s="65"/>
      <c r="E43" s="71"/>
      <c r="F43" s="2"/>
      <c r="G43" s="2"/>
    </row>
    <row r="44" spans="1:7" ht="18">
      <c r="A44" s="88" t="s">
        <v>73</v>
      </c>
      <c r="B44" s="87">
        <f>'IDLER DETAILS'!F5</f>
        <v>12</v>
      </c>
      <c r="C44" s="65"/>
      <c r="D44" s="65"/>
      <c r="E44" s="71"/>
      <c r="F44" s="2"/>
      <c r="G44" s="2"/>
    </row>
    <row r="45" spans="1:7" ht="18">
      <c r="A45" s="88" t="s">
        <v>81</v>
      </c>
      <c r="B45" s="87">
        <v>141</v>
      </c>
      <c r="C45" s="65"/>
      <c r="D45" s="65"/>
      <c r="E45" s="71"/>
      <c r="F45" s="2"/>
      <c r="G45" s="2"/>
    </row>
    <row r="46" spans="1:7" ht="18">
      <c r="A46" s="88" t="s">
        <v>74</v>
      </c>
      <c r="B46" s="87">
        <f>3*B45</f>
        <v>423</v>
      </c>
      <c r="C46" s="65"/>
      <c r="D46" s="65"/>
      <c r="E46" s="71"/>
      <c r="F46" s="2"/>
      <c r="G46" s="2"/>
    </row>
    <row r="47" spans="1:7" ht="18">
      <c r="A47" s="88" t="s">
        <v>82</v>
      </c>
      <c r="B47" s="87">
        <f>+(B40*B42+B44*B46)</f>
        <v>26226</v>
      </c>
      <c r="C47" s="65"/>
      <c r="D47" s="65"/>
      <c r="E47" s="71"/>
      <c r="F47" s="2"/>
      <c r="G47" s="2"/>
    </row>
    <row r="48" spans="1:7" ht="21.5">
      <c r="A48" s="105" t="s">
        <v>195</v>
      </c>
      <c r="B48" s="106">
        <f>+(B47/B34)/B35</f>
        <v>44.574750152967574</v>
      </c>
      <c r="C48" s="65"/>
      <c r="D48" s="65"/>
      <c r="E48" s="71"/>
      <c r="F48" s="2"/>
      <c r="G48" s="2"/>
    </row>
    <row r="49" spans="1:7" ht="19.5">
      <c r="A49" s="85" t="s">
        <v>197</v>
      </c>
      <c r="B49" s="88"/>
      <c r="C49" s="65"/>
      <c r="D49" s="65"/>
      <c r="E49" s="71"/>
      <c r="F49" s="2"/>
      <c r="G49" s="2"/>
    </row>
    <row r="50" spans="1:7" ht="18">
      <c r="A50" s="103" t="s">
        <v>7</v>
      </c>
      <c r="B50" s="104">
        <f>B39</f>
        <v>139.69999999999999</v>
      </c>
      <c r="C50" s="65"/>
      <c r="D50" s="65"/>
      <c r="E50" s="71"/>
      <c r="F50" s="2"/>
      <c r="G50" s="2"/>
    </row>
    <row r="51" spans="1:7" ht="18">
      <c r="A51" s="88" t="s">
        <v>8</v>
      </c>
      <c r="B51" s="87">
        <f>'IDLER DETAILS'!G5+'IDLER DETAILS'!H5</f>
        <v>20</v>
      </c>
      <c r="C51" s="65"/>
      <c r="D51" s="65"/>
      <c r="E51" s="71"/>
      <c r="F51" s="2"/>
      <c r="G51" s="2"/>
    </row>
    <row r="52" spans="1:7" ht="18">
      <c r="A52" s="88" t="s">
        <v>80</v>
      </c>
      <c r="B52" s="87">
        <v>266</v>
      </c>
      <c r="C52" s="65"/>
      <c r="D52" s="65"/>
      <c r="E52" s="71"/>
      <c r="F52" s="2"/>
      <c r="G52" s="2"/>
    </row>
    <row r="53" spans="1:7" ht="18">
      <c r="A53" s="88" t="s">
        <v>82</v>
      </c>
      <c r="B53" s="87">
        <f>+B51*B52</f>
        <v>5320</v>
      </c>
      <c r="C53" s="88"/>
      <c r="D53" s="88"/>
      <c r="E53" s="71"/>
      <c r="F53" s="2"/>
      <c r="G53" s="2"/>
    </row>
    <row r="54" spans="1:7" ht="21.5">
      <c r="A54" s="105" t="s">
        <v>196</v>
      </c>
      <c r="B54" s="106">
        <f>+(B53/B9)/B35</f>
        <v>9.0420830783873836</v>
      </c>
      <c r="C54" s="88"/>
      <c r="D54" s="88"/>
      <c r="E54" s="71"/>
      <c r="F54" s="2"/>
      <c r="G54" s="2"/>
    </row>
    <row r="55" spans="1:7" ht="19.5">
      <c r="A55" s="85" t="s">
        <v>198</v>
      </c>
      <c r="B55" s="87"/>
      <c r="C55" s="88"/>
      <c r="D55" s="88"/>
      <c r="E55" s="71"/>
      <c r="F55" s="2"/>
      <c r="G55" s="2"/>
    </row>
    <row r="56" spans="1:7" ht="18">
      <c r="A56" s="88" t="s">
        <v>9</v>
      </c>
      <c r="B56" s="87">
        <f>_xlfn.XLOOKUP(K20,'DATA BANK'!A35:A39,'DATA BANK'!B35:B39)</f>
        <v>6.7</v>
      </c>
      <c r="C56" s="88"/>
      <c r="D56" s="88"/>
      <c r="E56" s="71"/>
      <c r="F56" s="2"/>
      <c r="G56" s="2"/>
    </row>
    <row r="57" spans="1:7" ht="18">
      <c r="A57" s="88" t="s">
        <v>10</v>
      </c>
      <c r="B57" s="87">
        <f>+B18</f>
        <v>8</v>
      </c>
      <c r="C57" s="88"/>
      <c r="D57" s="88"/>
      <c r="E57" s="71"/>
      <c r="F57" s="2"/>
      <c r="G57" s="2"/>
    </row>
    <row r="58" spans="1:7" ht="18">
      <c r="A58" s="88" t="s">
        <v>11</v>
      </c>
      <c r="B58" s="87">
        <f>+B19</f>
        <v>3</v>
      </c>
      <c r="C58" s="88"/>
      <c r="D58" s="88"/>
      <c r="E58" s="71"/>
      <c r="F58" s="2"/>
      <c r="G58" s="2"/>
    </row>
    <row r="59" spans="1:7" ht="21.5">
      <c r="A59" s="105" t="s">
        <v>200</v>
      </c>
      <c r="B59" s="107">
        <f>+(1.1*(B56+B57+B58))*(B12/1000)</f>
        <v>15.576000000000002</v>
      </c>
      <c r="C59" s="88"/>
      <c r="D59" s="88"/>
      <c r="E59" s="71"/>
      <c r="F59" s="2"/>
      <c r="G59" s="2"/>
    </row>
    <row r="60" spans="1:7" ht="19.5">
      <c r="A60" s="85" t="s">
        <v>201</v>
      </c>
      <c r="B60" s="88"/>
      <c r="C60" s="88"/>
      <c r="D60" s="88"/>
      <c r="E60" s="71"/>
      <c r="F60" s="2"/>
      <c r="G60" s="2"/>
    </row>
    <row r="61" spans="1:7" ht="18">
      <c r="A61" s="108" t="s">
        <v>171</v>
      </c>
      <c r="B61" s="109">
        <f>+(B6*1000)/(3600*B11)</f>
        <v>200</v>
      </c>
      <c r="C61" s="110"/>
      <c r="D61" s="88"/>
      <c r="E61" s="71"/>
      <c r="F61" s="2"/>
      <c r="G61" s="2"/>
    </row>
    <row r="62" spans="1:7" ht="21.5">
      <c r="A62" s="111" t="s">
        <v>172</v>
      </c>
      <c r="B62" s="112">
        <f>+B33*B34*B35*(B48+B54+(2*B59+B61)*B37)</f>
        <v>4989.3196988713153</v>
      </c>
      <c r="C62" s="88"/>
      <c r="D62" s="88"/>
      <c r="E62" s="71"/>
      <c r="F62" s="2"/>
      <c r="G62" s="2"/>
    </row>
    <row r="63" spans="1:7" ht="18">
      <c r="A63" s="88"/>
      <c r="B63" s="88"/>
      <c r="C63" s="91"/>
      <c r="D63" s="88"/>
      <c r="E63" s="71"/>
      <c r="F63" s="2"/>
      <c r="G63" s="2"/>
    </row>
    <row r="64" spans="1:7" ht="21.5">
      <c r="A64" s="99" t="s">
        <v>194</v>
      </c>
      <c r="B64" s="88"/>
      <c r="C64" s="88"/>
      <c r="D64" s="88"/>
      <c r="E64" s="71"/>
      <c r="F64" s="2"/>
      <c r="G64" s="2"/>
    </row>
    <row r="65" spans="1:7" ht="19.5">
      <c r="A65" s="88" t="s">
        <v>317</v>
      </c>
      <c r="B65" s="88"/>
      <c r="C65" s="88"/>
      <c r="D65" s="88"/>
      <c r="E65" s="71"/>
      <c r="F65" s="2"/>
      <c r="G65" s="2"/>
    </row>
    <row r="66" spans="1:7" ht="19.5">
      <c r="A66" s="85" t="s">
        <v>193</v>
      </c>
      <c r="B66" s="88"/>
      <c r="C66" s="88"/>
      <c r="D66" s="88"/>
      <c r="E66" s="71"/>
      <c r="F66" s="2"/>
      <c r="G66" s="2"/>
    </row>
    <row r="67" spans="1:7" ht="19.5">
      <c r="A67" s="88" t="s">
        <v>318</v>
      </c>
      <c r="B67" s="88"/>
      <c r="C67" s="88" t="s">
        <v>173</v>
      </c>
      <c r="D67" s="88"/>
      <c r="E67" s="71"/>
      <c r="F67" s="2"/>
      <c r="G67" s="2"/>
    </row>
    <row r="68" spans="1:7" ht="19.5">
      <c r="A68" s="113" t="s">
        <v>319</v>
      </c>
      <c r="B68" s="114">
        <f>+(D69*1000*B8*(B11-0))</f>
        <v>1250</v>
      </c>
      <c r="C68" s="88" t="s">
        <v>12</v>
      </c>
      <c r="D68" s="88"/>
      <c r="E68" s="71"/>
      <c r="F68" s="2"/>
      <c r="G68" s="2"/>
    </row>
    <row r="69" spans="1:7" ht="18">
      <c r="A69" s="88"/>
      <c r="B69" s="88"/>
      <c r="C69" s="88" t="s">
        <v>174</v>
      </c>
      <c r="D69" s="95">
        <f>+(B6)/(3600*B8)</f>
        <v>0.625</v>
      </c>
      <c r="E69" s="71"/>
      <c r="F69" s="2"/>
      <c r="G69" s="2"/>
    </row>
    <row r="70" spans="1:7" ht="19.5">
      <c r="A70" s="85" t="s">
        <v>192</v>
      </c>
      <c r="B70" s="88"/>
      <c r="C70" s="88"/>
      <c r="D70" s="88"/>
      <c r="E70" s="71"/>
      <c r="F70" s="2"/>
      <c r="G70" s="2"/>
    </row>
    <row r="71" spans="1:7" ht="19.5">
      <c r="A71" s="88" t="s">
        <v>350</v>
      </c>
      <c r="B71" s="88"/>
      <c r="C71" s="101" t="s">
        <v>175</v>
      </c>
      <c r="D71" s="87">
        <v>0.7</v>
      </c>
      <c r="E71" s="71"/>
      <c r="F71" s="2"/>
      <c r="G71" s="2"/>
    </row>
    <row r="72" spans="1:7" ht="18">
      <c r="A72" s="88"/>
      <c r="B72" s="88"/>
      <c r="C72" s="101" t="s">
        <v>176</v>
      </c>
      <c r="D72" s="87">
        <v>0.6</v>
      </c>
      <c r="E72" s="71"/>
      <c r="F72" s="2"/>
      <c r="G72" s="2"/>
    </row>
    <row r="73" spans="1:7" ht="19.5">
      <c r="A73" s="113" t="s">
        <v>320</v>
      </c>
      <c r="B73" s="114">
        <f>+(D72*D69^2*1000*B8*D73*B35)/((((B11+0)/2)^2)*D74^2)</f>
        <v>1883.3705357142858</v>
      </c>
      <c r="C73" s="88" t="s">
        <v>187</v>
      </c>
      <c r="D73" s="95">
        <f>+((B11-0)^2/(2*B35*D71))</f>
        <v>0.45526062760409081</v>
      </c>
      <c r="E73" s="71"/>
      <c r="F73" s="2"/>
      <c r="G73" s="2"/>
    </row>
    <row r="74" spans="1:7" ht="18">
      <c r="A74" s="88"/>
      <c r="B74" s="88"/>
      <c r="C74" s="88" t="s">
        <v>13</v>
      </c>
      <c r="D74" s="95">
        <f>+(2/3)*(B12/1000)</f>
        <v>0.53333333333333333</v>
      </c>
      <c r="E74" s="71"/>
      <c r="F74" s="2"/>
      <c r="G74" s="2"/>
    </row>
    <row r="75" spans="1:7" ht="19.5">
      <c r="A75" s="85" t="s">
        <v>202</v>
      </c>
      <c r="B75" s="88"/>
      <c r="C75" s="88"/>
      <c r="D75" s="88"/>
      <c r="E75" s="71"/>
      <c r="F75" s="2"/>
      <c r="G75" s="2"/>
    </row>
    <row r="76" spans="1:7" ht="19.5">
      <c r="A76" s="103" t="s">
        <v>321</v>
      </c>
      <c r="B76" s="88"/>
      <c r="C76" s="88"/>
      <c r="D76" s="88"/>
      <c r="E76" s="71"/>
      <c r="F76" s="2"/>
      <c r="G76" s="2"/>
    </row>
    <row r="77" spans="1:7" ht="18">
      <c r="A77" s="88" t="s">
        <v>177</v>
      </c>
      <c r="B77" s="88"/>
      <c r="C77" s="88" t="s">
        <v>14</v>
      </c>
      <c r="D77" s="87">
        <v>2</v>
      </c>
      <c r="E77" s="71"/>
      <c r="G77" s="2"/>
    </row>
    <row r="78" spans="1:7" ht="19.5">
      <c r="A78" s="113" t="s">
        <v>322</v>
      </c>
      <c r="B78" s="115">
        <f>+(D77*B81)+(D78*B82)</f>
        <v>1050</v>
      </c>
      <c r="C78" s="88" t="s">
        <v>15</v>
      </c>
      <c r="D78" s="87">
        <v>5</v>
      </c>
      <c r="E78" s="71"/>
      <c r="G78" s="2"/>
    </row>
    <row r="79" spans="1:7" ht="18">
      <c r="A79" s="80" t="s">
        <v>179</v>
      </c>
      <c r="B79" s="80" t="s">
        <v>178</v>
      </c>
      <c r="C79" s="88"/>
      <c r="D79" s="88"/>
      <c r="E79" s="71"/>
      <c r="F79" s="2"/>
      <c r="G79" s="2"/>
    </row>
    <row r="80" spans="1:7" ht="18">
      <c r="A80" s="79" t="s">
        <v>181</v>
      </c>
      <c r="B80" s="79">
        <v>230</v>
      </c>
      <c r="C80" s="88"/>
      <c r="D80" s="88"/>
      <c r="E80" s="71"/>
      <c r="F80" s="2"/>
      <c r="G80" s="2"/>
    </row>
    <row r="81" spans="1:7" ht="18">
      <c r="A81" s="79" t="s">
        <v>182</v>
      </c>
      <c r="B81" s="79">
        <v>175</v>
      </c>
      <c r="C81" s="88"/>
      <c r="D81" s="88"/>
      <c r="E81" s="71"/>
      <c r="F81" s="2"/>
      <c r="G81" s="2"/>
    </row>
    <row r="82" spans="1:7" ht="18">
      <c r="A82" s="79" t="s">
        <v>180</v>
      </c>
      <c r="B82" s="79">
        <v>140</v>
      </c>
      <c r="C82" s="88"/>
      <c r="D82" s="88"/>
      <c r="E82" s="71"/>
      <c r="F82" s="2"/>
      <c r="G82" s="2"/>
    </row>
    <row r="83" spans="1:7" ht="18">
      <c r="A83" s="88"/>
      <c r="B83" s="88"/>
      <c r="C83" s="88"/>
      <c r="D83" s="88"/>
      <c r="E83" s="71"/>
      <c r="F83" s="2"/>
      <c r="G83" s="2"/>
    </row>
    <row r="84" spans="1:7" ht="19.5">
      <c r="A84" s="85" t="s">
        <v>191</v>
      </c>
      <c r="B84" s="88"/>
      <c r="C84" s="88"/>
      <c r="D84" s="88"/>
      <c r="E84" s="71"/>
      <c r="F84" s="2"/>
      <c r="G84" s="2"/>
    </row>
    <row r="85" spans="1:7" ht="19.5">
      <c r="A85" s="88" t="s">
        <v>324</v>
      </c>
      <c r="B85" s="88"/>
      <c r="C85" s="88"/>
      <c r="D85" s="88"/>
      <c r="E85" s="71"/>
      <c r="F85" s="2"/>
      <c r="G85" s="2"/>
    </row>
    <row r="86" spans="1:7" ht="18">
      <c r="A86" s="88" t="s">
        <v>189</v>
      </c>
      <c r="B86" s="89"/>
      <c r="C86" s="88"/>
      <c r="D86" s="4"/>
      <c r="E86" s="71"/>
      <c r="F86" s="2"/>
      <c r="G86" s="2"/>
    </row>
    <row r="87" spans="1:7" ht="18">
      <c r="A87" s="88" t="s">
        <v>16</v>
      </c>
      <c r="B87" s="89"/>
      <c r="C87" s="88"/>
      <c r="D87" s="4"/>
      <c r="E87" s="71"/>
      <c r="F87" s="2"/>
      <c r="G87" s="2"/>
    </row>
    <row r="88" spans="1:7" ht="18">
      <c r="A88" s="88" t="s">
        <v>17</v>
      </c>
      <c r="B88" s="89"/>
      <c r="C88" s="88"/>
      <c r="D88" s="4"/>
      <c r="E88" s="71"/>
      <c r="F88" s="2"/>
      <c r="G88" s="2"/>
    </row>
    <row r="89" spans="1:7" ht="19.5">
      <c r="A89" s="88" t="s">
        <v>325</v>
      </c>
      <c r="B89" s="87">
        <v>100</v>
      </c>
      <c r="C89" s="4"/>
      <c r="D89" s="4"/>
      <c r="E89" s="71"/>
      <c r="F89" s="2"/>
      <c r="G89" s="2"/>
    </row>
    <row r="90" spans="1:7" ht="18">
      <c r="A90" s="88" t="s">
        <v>18</v>
      </c>
      <c r="B90" s="87">
        <f>+D77+D78</f>
        <v>7</v>
      </c>
      <c r="C90" s="4"/>
      <c r="D90" s="4"/>
      <c r="E90" s="71"/>
      <c r="F90" s="2"/>
      <c r="G90" s="2"/>
    </row>
    <row r="91" spans="1:7" ht="18">
      <c r="A91" s="88"/>
      <c r="B91" s="88"/>
      <c r="C91" s="88"/>
      <c r="D91" s="88"/>
      <c r="E91" s="71"/>
      <c r="F91" s="2"/>
      <c r="G91" s="2"/>
    </row>
    <row r="92" spans="1:7" ht="19.5">
      <c r="A92" s="113" t="s">
        <v>323</v>
      </c>
      <c r="B92" s="115">
        <f>+(B90*B89)</f>
        <v>700</v>
      </c>
      <c r="C92" s="88"/>
      <c r="D92" s="88"/>
      <c r="E92" s="71"/>
      <c r="F92" s="2"/>
      <c r="G92" s="2"/>
    </row>
    <row r="93" spans="1:7" ht="18">
      <c r="A93" s="103"/>
      <c r="B93" s="104"/>
      <c r="C93" s="88"/>
      <c r="D93" s="88"/>
      <c r="E93" s="71"/>
      <c r="F93" s="2"/>
      <c r="G93" s="2"/>
    </row>
    <row r="94" spans="1:7" ht="21.5">
      <c r="A94" s="116" t="s">
        <v>190</v>
      </c>
      <c r="B94" s="112">
        <f>+B92+B78+B73+B68</f>
        <v>4883.3705357142862</v>
      </c>
      <c r="C94" s="88"/>
      <c r="D94" s="88"/>
      <c r="E94" s="71"/>
      <c r="F94" s="2"/>
      <c r="G94" s="2"/>
    </row>
    <row r="95" spans="1:7" ht="18">
      <c r="A95" s="88"/>
      <c r="B95" s="88"/>
      <c r="C95" s="88"/>
      <c r="D95" s="88"/>
      <c r="E95" s="71"/>
      <c r="F95" s="2"/>
      <c r="G95" s="2"/>
    </row>
    <row r="96" spans="1:7" ht="21.5">
      <c r="A96" s="117" t="s">
        <v>213</v>
      </c>
      <c r="B96" s="88"/>
      <c r="C96" s="88"/>
      <c r="D96" s="88"/>
      <c r="E96" s="71"/>
      <c r="F96" s="2"/>
      <c r="G96" s="2"/>
    </row>
    <row r="97" spans="1:7" ht="18">
      <c r="A97" s="88"/>
      <c r="B97" s="88"/>
      <c r="C97" s="88"/>
      <c r="D97" s="88"/>
      <c r="E97" s="71"/>
      <c r="F97" s="2"/>
      <c r="G97" s="2"/>
    </row>
    <row r="98" spans="1:7" ht="19.5">
      <c r="A98" s="88" t="s">
        <v>326</v>
      </c>
      <c r="B98" s="88"/>
      <c r="C98" s="88" t="s">
        <v>208</v>
      </c>
      <c r="D98" s="88">
        <v>0.5</v>
      </c>
      <c r="E98" s="71"/>
      <c r="F98" s="2"/>
      <c r="G98" s="2"/>
    </row>
    <row r="99" spans="1:7" ht="19.5">
      <c r="A99" s="88"/>
      <c r="B99" s="88"/>
      <c r="C99" s="101" t="s">
        <v>205</v>
      </c>
      <c r="D99" s="88">
        <v>0.4</v>
      </c>
      <c r="E99" s="71"/>
      <c r="F99" s="2"/>
      <c r="G99" s="2"/>
    </row>
    <row r="100" spans="1:7" ht="19.5">
      <c r="A100" s="85" t="s">
        <v>203</v>
      </c>
      <c r="B100" s="88"/>
      <c r="C100" s="88" t="s">
        <v>209</v>
      </c>
      <c r="D100" s="88">
        <f>+B9</f>
        <v>60</v>
      </c>
      <c r="E100" s="71"/>
      <c r="F100" s="2"/>
      <c r="G100" s="2"/>
    </row>
    <row r="101" spans="1:7" ht="19.5">
      <c r="A101" s="118" t="s">
        <v>327</v>
      </c>
      <c r="B101" s="88"/>
      <c r="C101" s="119" t="s">
        <v>19</v>
      </c>
      <c r="D101" s="88">
        <v>2</v>
      </c>
      <c r="E101" s="71"/>
      <c r="F101" s="2"/>
      <c r="G101" s="2"/>
    </row>
    <row r="102" spans="1:7" ht="18">
      <c r="A102" s="118" t="s">
        <v>204</v>
      </c>
      <c r="B102" s="118"/>
      <c r="C102" s="103" t="s">
        <v>207</v>
      </c>
      <c r="D102" s="120">
        <f>SIN((3.1417/180)*D101)</f>
        <v>3.4900688713783642E-2</v>
      </c>
      <c r="E102" s="71"/>
      <c r="F102" s="2"/>
      <c r="G102" s="2"/>
    </row>
    <row r="103" spans="1:7" ht="18">
      <c r="A103" s="88"/>
      <c r="B103" s="88"/>
      <c r="C103" s="4"/>
      <c r="D103" s="4"/>
      <c r="E103" s="71"/>
      <c r="F103" s="2"/>
      <c r="G103" s="2"/>
    </row>
    <row r="104" spans="1:7" ht="18">
      <c r="A104" s="113" t="s">
        <v>206</v>
      </c>
      <c r="B104" s="114">
        <f>+B35*D98*D99*D100*(B59+B61)*B37*D102</f>
        <v>877.28914530692839</v>
      </c>
      <c r="C104" s="4"/>
      <c r="D104" s="4"/>
      <c r="E104" s="71"/>
      <c r="F104" s="2"/>
      <c r="G104" s="2"/>
    </row>
    <row r="105" spans="1:7" ht="19.5">
      <c r="A105" s="85" t="s">
        <v>210</v>
      </c>
      <c r="B105" s="88"/>
      <c r="C105" s="101"/>
      <c r="D105" s="88"/>
      <c r="E105" s="71"/>
      <c r="F105" s="2"/>
      <c r="G105" s="2"/>
    </row>
    <row r="106" spans="1:7" ht="18">
      <c r="A106" s="88"/>
      <c r="B106" s="88"/>
      <c r="C106" s="88" t="s">
        <v>212</v>
      </c>
      <c r="D106" s="91">
        <f>+B14</f>
        <v>3</v>
      </c>
      <c r="E106" s="71"/>
      <c r="F106" s="2"/>
      <c r="G106" s="2"/>
    </row>
    <row r="107" spans="1:7" ht="19.5">
      <c r="A107" s="88" t="s">
        <v>351</v>
      </c>
      <c r="B107" s="88"/>
      <c r="C107" s="88"/>
      <c r="D107" s="88"/>
      <c r="E107" s="71"/>
      <c r="F107" s="2"/>
      <c r="G107" s="2"/>
    </row>
    <row r="108" spans="1:7" ht="18">
      <c r="A108" s="113" t="s">
        <v>20</v>
      </c>
      <c r="B108" s="114">
        <f>+(D72*D69^2*1000*B8*B35*D106)/(B11^2*D74^2)</f>
        <v>3102.6796874999995</v>
      </c>
      <c r="C108" s="88"/>
      <c r="D108" s="88"/>
      <c r="E108" s="71"/>
      <c r="F108" s="2"/>
      <c r="G108" s="2"/>
    </row>
    <row r="109" spans="1:7" ht="18">
      <c r="A109" s="103"/>
      <c r="B109" s="100"/>
      <c r="C109" s="88"/>
      <c r="D109" s="88"/>
      <c r="E109" s="71"/>
      <c r="F109" s="2"/>
      <c r="G109" s="2"/>
    </row>
    <row r="110" spans="1:7" ht="21.5">
      <c r="A110" s="111" t="s">
        <v>221</v>
      </c>
      <c r="B110" s="112">
        <f>+B108+B104</f>
        <v>3979.9688328069278</v>
      </c>
      <c r="C110" s="88"/>
      <c r="D110" s="88"/>
      <c r="E110" s="71"/>
      <c r="F110" s="2"/>
      <c r="G110" s="2"/>
    </row>
    <row r="111" spans="1:7" ht="21.5">
      <c r="A111" s="96"/>
      <c r="B111" s="121"/>
      <c r="C111" s="88"/>
      <c r="D111" s="88"/>
      <c r="E111" s="71"/>
      <c r="F111" s="2"/>
      <c r="G111" s="2"/>
    </row>
    <row r="112" spans="1:7" ht="21.5">
      <c r="A112" s="96"/>
      <c r="B112" s="121"/>
      <c r="C112" s="88" t="s">
        <v>219</v>
      </c>
      <c r="D112" s="87">
        <f>+D113*D114*D115</f>
        <v>1.6E-2</v>
      </c>
      <c r="E112" s="71"/>
      <c r="F112" s="2"/>
      <c r="G112" s="2"/>
    </row>
    <row r="113" spans="1:7" ht="21.5">
      <c r="A113" s="117" t="s">
        <v>214</v>
      </c>
      <c r="B113" s="121"/>
      <c r="C113" s="88" t="s">
        <v>220</v>
      </c>
      <c r="D113" s="87">
        <v>0.02</v>
      </c>
      <c r="E113" s="71"/>
      <c r="F113" s="2"/>
      <c r="G113" s="2"/>
    </row>
    <row r="114" spans="1:7" ht="21.5">
      <c r="A114" s="122" t="s">
        <v>215</v>
      </c>
      <c r="B114" s="121"/>
      <c r="C114" s="88" t="s">
        <v>217</v>
      </c>
      <c r="D114" s="87">
        <f>+B12/1000</f>
        <v>0.8</v>
      </c>
      <c r="E114" s="71"/>
      <c r="F114" s="2"/>
      <c r="G114" s="2"/>
    </row>
    <row r="115" spans="1:7" ht="21.5">
      <c r="A115" s="85" t="s">
        <v>216</v>
      </c>
      <c r="B115" s="121"/>
      <c r="C115" s="88" t="s">
        <v>21</v>
      </c>
      <c r="D115" s="87">
        <v>1</v>
      </c>
      <c r="E115" s="71"/>
      <c r="F115" s="2"/>
      <c r="G115" s="2"/>
    </row>
    <row r="116" spans="1:7" ht="19.5">
      <c r="A116" s="88" t="s">
        <v>328</v>
      </c>
      <c r="B116" s="87">
        <f>+D112*D117*D116</f>
        <v>896</v>
      </c>
      <c r="C116" s="101" t="s">
        <v>218</v>
      </c>
      <c r="D116" s="87">
        <v>0.7</v>
      </c>
      <c r="E116" s="71"/>
      <c r="F116" s="2"/>
      <c r="G116" s="2"/>
    </row>
    <row r="117" spans="1:7" ht="19.5">
      <c r="A117" s="85" t="s">
        <v>211</v>
      </c>
      <c r="B117" s="4"/>
      <c r="C117" s="88" t="s">
        <v>22</v>
      </c>
      <c r="D117" s="87">
        <f>8*10^4</f>
        <v>80000</v>
      </c>
      <c r="E117" s="71"/>
      <c r="F117" s="2"/>
      <c r="G117" s="2"/>
    </row>
    <row r="118" spans="1:7" ht="18">
      <c r="A118" s="88" t="s">
        <v>222</v>
      </c>
      <c r="B118" s="87">
        <v>0</v>
      </c>
      <c r="C118" s="4"/>
      <c r="D118" s="4"/>
      <c r="E118" s="71"/>
      <c r="F118" s="2"/>
      <c r="G118" s="2"/>
    </row>
    <row r="119" spans="1:7" ht="21.5">
      <c r="A119" s="111" t="s">
        <v>223</v>
      </c>
      <c r="B119" s="112">
        <f>+B116+B118</f>
        <v>896</v>
      </c>
      <c r="C119" s="4"/>
      <c r="D119" s="4"/>
      <c r="E119" s="71"/>
      <c r="F119" s="2"/>
      <c r="G119" s="2"/>
    </row>
    <row r="120" spans="1:7" ht="18">
      <c r="A120" s="88"/>
      <c r="B120" s="88"/>
      <c r="C120" s="4"/>
      <c r="D120" s="4"/>
      <c r="E120" s="71"/>
      <c r="F120" s="2"/>
      <c r="G120" s="2"/>
    </row>
    <row r="121" spans="1:7" ht="18">
      <c r="A121" s="88" t="s">
        <v>23</v>
      </c>
      <c r="B121" s="88"/>
      <c r="C121" s="4"/>
      <c r="D121" s="4"/>
      <c r="E121" s="71"/>
      <c r="F121" s="2"/>
      <c r="G121" s="2"/>
    </row>
    <row r="122" spans="1:7" ht="18">
      <c r="A122" s="88"/>
      <c r="B122" s="88"/>
      <c r="C122" s="88"/>
      <c r="D122" s="88"/>
      <c r="E122" s="71"/>
      <c r="F122" s="2"/>
      <c r="G122" s="2"/>
    </row>
    <row r="123" spans="1:7" ht="21.5">
      <c r="A123" s="117" t="s">
        <v>226</v>
      </c>
      <c r="B123" s="123"/>
      <c r="C123" s="88"/>
      <c r="D123" s="88"/>
      <c r="E123" s="71"/>
      <c r="F123" s="2"/>
      <c r="G123" s="2"/>
    </row>
    <row r="124" spans="1:7" ht="18">
      <c r="A124" s="88"/>
      <c r="B124" s="88"/>
      <c r="C124" s="88"/>
      <c r="D124" s="88"/>
      <c r="E124" s="71"/>
      <c r="F124" s="2"/>
      <c r="G124" s="2"/>
    </row>
    <row r="125" spans="1:7" ht="19.5">
      <c r="A125" s="88" t="s">
        <v>225</v>
      </c>
      <c r="B125" s="95">
        <f>+B61*B10*B35</f>
        <v>13728.4</v>
      </c>
      <c r="C125" s="88"/>
      <c r="D125" s="88"/>
      <c r="E125" s="71"/>
      <c r="F125" s="2"/>
      <c r="G125" s="2"/>
    </row>
    <row r="126" spans="1:7" ht="18">
      <c r="A126" s="88"/>
      <c r="B126" s="95"/>
      <c r="C126" s="88"/>
      <c r="D126" s="88"/>
      <c r="E126" s="71"/>
      <c r="F126" s="2"/>
      <c r="G126" s="2"/>
    </row>
    <row r="127" spans="1:7" ht="21.5">
      <c r="A127" s="111" t="s">
        <v>224</v>
      </c>
      <c r="B127" s="124">
        <f>+B125</f>
        <v>13728.4</v>
      </c>
      <c r="C127" s="88"/>
      <c r="D127" s="88"/>
      <c r="E127" s="71"/>
      <c r="F127" s="2"/>
      <c r="G127" s="2"/>
    </row>
    <row r="128" spans="1:7" ht="18">
      <c r="A128" s="88"/>
      <c r="B128" s="88"/>
      <c r="C128" s="88"/>
      <c r="D128" s="88"/>
      <c r="E128" s="71"/>
      <c r="F128" s="2"/>
      <c r="G128" s="2"/>
    </row>
    <row r="129" spans="1:7" ht="21.5">
      <c r="A129" s="117" t="s">
        <v>227</v>
      </c>
      <c r="B129" s="88"/>
      <c r="C129" s="88"/>
      <c r="D129" s="88"/>
      <c r="E129" s="71"/>
      <c r="F129" s="2"/>
      <c r="G129" s="2"/>
    </row>
    <row r="130" spans="1:7" ht="18">
      <c r="A130" s="88"/>
      <c r="B130" s="88"/>
      <c r="C130" s="88"/>
      <c r="D130" s="88"/>
      <c r="E130" s="71"/>
      <c r="F130" s="2"/>
      <c r="G130" s="2"/>
    </row>
    <row r="131" spans="1:7" ht="21.5">
      <c r="A131" s="125" t="s">
        <v>228</v>
      </c>
      <c r="B131" s="126">
        <f>+B127+B119+B110+B94+B62</f>
        <v>28477.059067392525</v>
      </c>
      <c r="C131" s="88"/>
      <c r="D131" s="88"/>
      <c r="E131" s="71"/>
      <c r="F131" s="2"/>
      <c r="G131" s="2"/>
    </row>
    <row r="132" spans="1:7" ht="18">
      <c r="A132" s="88"/>
      <c r="B132" s="88"/>
      <c r="C132" s="95"/>
      <c r="D132" s="88"/>
      <c r="E132" s="71"/>
      <c r="F132" s="2"/>
      <c r="G132" s="2"/>
    </row>
    <row r="133" spans="1:7" ht="19.5">
      <c r="A133" s="85" t="s">
        <v>37</v>
      </c>
      <c r="B133" s="88"/>
      <c r="C133" s="88"/>
      <c r="D133" s="88"/>
      <c r="E133" s="71"/>
      <c r="F133" s="2"/>
      <c r="G133" s="2"/>
    </row>
    <row r="134" spans="1:7" ht="19.5">
      <c r="A134" s="88"/>
      <c r="B134" s="85"/>
      <c r="C134" s="88"/>
      <c r="D134" s="88"/>
      <c r="E134" s="71"/>
      <c r="F134" s="2"/>
      <c r="G134" s="2"/>
    </row>
    <row r="135" spans="1:7" ht="19.5">
      <c r="A135" s="88" t="s">
        <v>229</v>
      </c>
      <c r="B135" s="95">
        <f>+(B131*B11)/1000</f>
        <v>71.192647668481314</v>
      </c>
      <c r="C135" s="88" t="s">
        <v>231</v>
      </c>
      <c r="D135" s="88">
        <f>+B78</f>
        <v>1050</v>
      </c>
      <c r="E135" s="71"/>
      <c r="F135" s="2"/>
      <c r="G135" s="2"/>
    </row>
    <row r="136" spans="1:7" ht="19.5">
      <c r="A136" s="85" t="s">
        <v>35</v>
      </c>
      <c r="B136" s="87"/>
      <c r="C136" s="88" t="s">
        <v>232</v>
      </c>
      <c r="D136" s="88">
        <f>+B92</f>
        <v>700</v>
      </c>
      <c r="E136" s="71"/>
      <c r="F136" s="2"/>
      <c r="G136" s="2"/>
    </row>
    <row r="137" spans="1:7" ht="19.5">
      <c r="A137" s="88" t="s">
        <v>230</v>
      </c>
      <c r="B137" s="95">
        <f>B21+B135+((D135+D136)*B11)/1000</f>
        <v>75.567647668481314</v>
      </c>
      <c r="C137" s="88"/>
      <c r="D137" s="88"/>
      <c r="E137" s="71"/>
      <c r="F137" s="2"/>
      <c r="G137" s="2"/>
    </row>
    <row r="138" spans="1:7" ht="18">
      <c r="A138" s="88"/>
      <c r="B138" s="127"/>
      <c r="C138" s="88" t="s">
        <v>234</v>
      </c>
      <c r="D138" s="87">
        <v>1.2</v>
      </c>
      <c r="E138" s="71"/>
      <c r="F138" s="2"/>
      <c r="G138" s="2"/>
    </row>
    <row r="139" spans="1:7" ht="19.5">
      <c r="A139" s="85" t="s">
        <v>233</v>
      </c>
      <c r="B139" s="88"/>
      <c r="C139" s="101" t="s">
        <v>235</v>
      </c>
      <c r="D139" s="87">
        <v>0.95</v>
      </c>
      <c r="E139" s="71"/>
      <c r="F139" s="2"/>
      <c r="G139" s="2"/>
    </row>
    <row r="140" spans="1:7" ht="21.5">
      <c r="A140" s="98" t="s">
        <v>238</v>
      </c>
      <c r="B140" s="128">
        <f>+(B137*D138)/(D139*D140)</f>
        <v>95.453870739134302</v>
      </c>
      <c r="C140" s="101" t="s">
        <v>236</v>
      </c>
      <c r="D140" s="87">
        <v>1</v>
      </c>
      <c r="E140" s="71"/>
      <c r="F140" s="2"/>
      <c r="G140" s="2"/>
    </row>
    <row r="141" spans="1:7" ht="18">
      <c r="A141" s="88"/>
      <c r="B141" s="95"/>
      <c r="C141" s="4"/>
      <c r="D141" s="4"/>
      <c r="E141" s="65"/>
      <c r="F141" s="2"/>
      <c r="G141" s="2"/>
    </row>
    <row r="142" spans="1:7" ht="19.5">
      <c r="A142" s="129" t="s">
        <v>237</v>
      </c>
      <c r="B142" s="130">
        <v>980</v>
      </c>
      <c r="C142" s="88"/>
      <c r="D142" s="4"/>
      <c r="E142" s="71"/>
      <c r="F142" s="2"/>
      <c r="G142" s="2"/>
    </row>
    <row r="143" spans="1:7" ht="19.5">
      <c r="A143" s="129"/>
      <c r="B143" s="131"/>
      <c r="C143" s="4"/>
      <c r="D143" s="88"/>
      <c r="E143" s="71"/>
      <c r="F143" s="2"/>
      <c r="G143" s="2"/>
    </row>
    <row r="144" spans="1:7" ht="21.5">
      <c r="A144" s="111" t="s">
        <v>50</v>
      </c>
      <c r="B144" s="132">
        <f>IF(POWER!B140=LOOKUP(POWER!B140,'DATA BANK'!A177:A205),POWER!B140,INDEX('DATA BANK'!A177:A205,MATCH(POWER!B140,'DATA BANK'!A177:A205)+1))</f>
        <v>110</v>
      </c>
      <c r="C144" s="88"/>
      <c r="D144" s="88"/>
      <c r="E144" s="71"/>
      <c r="F144" s="2"/>
      <c r="G144" s="2"/>
    </row>
    <row r="145" spans="1:7" ht="18">
      <c r="A145" s="88"/>
      <c r="B145" s="4"/>
      <c r="C145" s="89"/>
      <c r="D145" s="88"/>
      <c r="E145" s="71"/>
      <c r="F145" s="2"/>
      <c r="G145" s="2"/>
    </row>
    <row r="146" spans="1:7" ht="19.5">
      <c r="A146" s="85" t="s">
        <v>38</v>
      </c>
      <c r="B146" s="4"/>
      <c r="C146" s="88" t="s">
        <v>307</v>
      </c>
      <c r="D146" s="87">
        <v>210</v>
      </c>
      <c r="E146" s="71"/>
      <c r="F146" s="2"/>
      <c r="G146" s="2"/>
    </row>
    <row r="147" spans="1:7" ht="18">
      <c r="A147" s="88"/>
      <c r="B147" s="4"/>
      <c r="C147" s="101" t="s">
        <v>304</v>
      </c>
      <c r="D147" s="87">
        <v>0.35</v>
      </c>
      <c r="E147" s="71"/>
      <c r="F147" s="2"/>
      <c r="G147" s="2"/>
    </row>
    <row r="148" spans="1:7" ht="19.5">
      <c r="A148" s="85" t="s">
        <v>39</v>
      </c>
      <c r="B148" s="4"/>
      <c r="C148" s="76" t="s">
        <v>305</v>
      </c>
      <c r="D148" s="87">
        <v>3.6</v>
      </c>
      <c r="E148" s="71"/>
      <c r="F148" s="2"/>
      <c r="G148" s="2"/>
    </row>
    <row r="149" spans="1:7" ht="18">
      <c r="A149" s="88"/>
      <c r="B149" s="4"/>
      <c r="C149" s="101" t="s">
        <v>306</v>
      </c>
      <c r="D149" s="87">
        <v>1.5</v>
      </c>
      <c r="E149" s="71"/>
      <c r="F149" s="2"/>
      <c r="G149" s="2"/>
    </row>
    <row r="150" spans="1:7" ht="19.5">
      <c r="A150" s="88" t="s">
        <v>275</v>
      </c>
      <c r="B150" s="4"/>
      <c r="C150" s="88"/>
      <c r="D150" s="88"/>
      <c r="E150" s="71"/>
      <c r="F150" s="2"/>
      <c r="G150" s="2"/>
    </row>
    <row r="151" spans="1:7" ht="19.5">
      <c r="A151" s="76" t="s">
        <v>276</v>
      </c>
      <c r="B151" s="133">
        <f>+(B131*D149)*((1/(D148-1)))</f>
        <v>16429.072538880304</v>
      </c>
      <c r="E151" s="71"/>
      <c r="F151" s="2"/>
      <c r="G151" s="2"/>
    </row>
    <row r="152" spans="1:7" ht="18">
      <c r="A152" s="88"/>
      <c r="B152" s="88"/>
      <c r="E152" s="71"/>
      <c r="F152" s="2"/>
      <c r="G152" s="2"/>
    </row>
    <row r="153" spans="1:7" ht="19.5">
      <c r="A153" s="85" t="s">
        <v>282</v>
      </c>
      <c r="B153" s="88"/>
      <c r="C153" s="88"/>
      <c r="D153" s="88"/>
      <c r="E153" s="71"/>
      <c r="F153" s="2"/>
      <c r="G153" s="2"/>
    </row>
    <row r="154" spans="1:7" ht="18">
      <c r="A154" s="88"/>
      <c r="B154" s="88"/>
      <c r="C154" s="88"/>
      <c r="D154" s="88"/>
      <c r="E154" s="71"/>
      <c r="F154" s="2"/>
      <c r="G154" s="2"/>
    </row>
    <row r="155" spans="1:7" ht="19.5">
      <c r="A155" s="88" t="s">
        <v>273</v>
      </c>
      <c r="B155" s="88"/>
      <c r="C155" s="88"/>
      <c r="D155" s="88"/>
      <c r="E155" s="71"/>
      <c r="F155" s="2"/>
      <c r="G155" s="2"/>
    </row>
    <row r="156" spans="1:7" ht="19.5">
      <c r="A156" s="76" t="s">
        <v>274</v>
      </c>
      <c r="B156" s="133">
        <f>+(B131*(D149/(D148-1)+1))</f>
        <v>44906.131606272829</v>
      </c>
      <c r="C156" s="88"/>
      <c r="D156" s="88"/>
      <c r="E156" s="71"/>
      <c r="F156" s="2"/>
      <c r="G156" s="2"/>
    </row>
    <row r="157" spans="1:7" ht="19.5">
      <c r="A157" s="76"/>
      <c r="C157" s="88"/>
      <c r="D157" s="88"/>
      <c r="E157" s="71"/>
      <c r="F157" s="2"/>
      <c r="G157" s="2"/>
    </row>
    <row r="158" spans="1:7" ht="21.5">
      <c r="A158" s="97" t="s">
        <v>240</v>
      </c>
      <c r="B158" s="76"/>
      <c r="C158" s="88"/>
      <c r="D158" s="88"/>
      <c r="E158" s="71"/>
      <c r="F158" s="2"/>
      <c r="G158" s="2"/>
    </row>
    <row r="159" spans="1:7" ht="18">
      <c r="A159" s="88"/>
      <c r="B159" s="88"/>
      <c r="C159" s="88"/>
      <c r="D159" s="88"/>
      <c r="E159" s="71"/>
      <c r="F159" s="2"/>
      <c r="G159" s="2"/>
    </row>
    <row r="160" spans="1:7" ht="19.5">
      <c r="A160" s="88" t="s">
        <v>278</v>
      </c>
      <c r="B160" s="95">
        <f>+(B156/B12)</f>
        <v>56.132664507841035</v>
      </c>
      <c r="C160" s="88"/>
      <c r="D160" s="88"/>
      <c r="E160" s="71"/>
      <c r="F160" s="2"/>
      <c r="G160" s="2"/>
    </row>
    <row r="161" spans="1:8" ht="19.5">
      <c r="A161" s="88" t="s">
        <v>281</v>
      </c>
      <c r="B161" s="95">
        <f>+B160/0.8</f>
        <v>70.165830634801296</v>
      </c>
      <c r="D161" s="88"/>
      <c r="E161" s="71"/>
      <c r="F161" s="2"/>
      <c r="G161" s="2"/>
    </row>
    <row r="162" spans="1:8" ht="19.5">
      <c r="A162" s="88" t="s">
        <v>279</v>
      </c>
      <c r="B162" s="87">
        <f>INDEX('DATA BANK'!A35:C39,B20,3)</f>
        <v>63</v>
      </c>
      <c r="D162" s="88"/>
      <c r="E162" s="71"/>
      <c r="F162" s="2"/>
      <c r="G162" s="2"/>
    </row>
    <row r="163" spans="1:8" ht="19.5">
      <c r="A163" s="76" t="s">
        <v>280</v>
      </c>
      <c r="B163" s="133">
        <f>+(B160*100)/B162</f>
        <v>89.09946747276355</v>
      </c>
      <c r="D163" s="88"/>
      <c r="E163" s="71"/>
      <c r="F163" s="2"/>
      <c r="G163" s="2"/>
    </row>
    <row r="164" spans="1:8" ht="19.5">
      <c r="A164" s="76"/>
      <c r="B164" s="88"/>
      <c r="D164" s="88"/>
      <c r="E164" s="71"/>
      <c r="F164" s="2"/>
      <c r="G164" s="2"/>
    </row>
    <row r="165" spans="1:8" ht="21.5">
      <c r="A165" s="97" t="s">
        <v>241</v>
      </c>
      <c r="B165" s="88"/>
      <c r="C165" s="81"/>
      <c r="D165" s="88"/>
      <c r="E165" s="71"/>
      <c r="F165" s="2"/>
      <c r="G165" s="2"/>
    </row>
    <row r="166" spans="1:8" ht="19.5">
      <c r="A166" s="89"/>
      <c r="B166" s="88"/>
      <c r="C166" s="81"/>
      <c r="D166" s="88"/>
      <c r="E166" s="71"/>
      <c r="F166" s="2"/>
      <c r="G166" s="2"/>
    </row>
    <row r="167" spans="1:8" ht="19.5">
      <c r="A167" s="88" t="s">
        <v>24</v>
      </c>
      <c r="B167" s="130" cm="1">
        <f t="array" ref="B167">INDEX('DATA BANK'!D47:D60,MATCH(1,(B56&gt;='DATA BANK'!A47:A60)*(B56&lt;='DATA BANK'!B47:B60),0))</f>
        <v>630</v>
      </c>
      <c r="C167" s="89"/>
      <c r="D167" s="89"/>
      <c r="E167" s="65"/>
    </row>
    <row r="168" spans="1:8" ht="19.5">
      <c r="A168" s="88" t="s">
        <v>25</v>
      </c>
      <c r="B168" s="130" cm="1">
        <f t="array" ref="B168">INDEX('DATA BANK'!E47:E60,MATCH(1,(B56&gt;='DATA BANK'!A47:A60)*(B56&lt;='DATA BANK'!B47:B60),0))</f>
        <v>500</v>
      </c>
      <c r="C168" s="88"/>
      <c r="D168" s="88"/>
      <c r="E168" s="71"/>
      <c r="F168" s="2"/>
      <c r="G168" s="2"/>
      <c r="H168" s="2"/>
    </row>
    <row r="169" spans="1:8" ht="19.5">
      <c r="A169" s="88" t="s">
        <v>26</v>
      </c>
      <c r="B169" s="130" cm="1">
        <f t="array" ref="B169">INDEX('DATA BANK'!F47:F60,MATCH(1,(B56&gt;='DATA BANK'!A47:A60)*(B56&lt;='DATA BANK'!B47:B60),0))</f>
        <v>400</v>
      </c>
      <c r="C169" s="88"/>
      <c r="D169" s="88"/>
      <c r="E169" s="71"/>
      <c r="F169" s="2"/>
      <c r="G169" s="2"/>
      <c r="H169" s="2"/>
    </row>
    <row r="170" spans="1:8" ht="18">
      <c r="A170" s="88" t="s">
        <v>27</v>
      </c>
      <c r="B170" s="137">
        <f>((3.1416*((B167/2)+(B169/2)))+2*B9*1000)*1.1</f>
        <v>133779.7164</v>
      </c>
      <c r="C170" s="88"/>
      <c r="D170" s="88"/>
      <c r="E170" s="71"/>
      <c r="F170" s="2"/>
      <c r="G170" s="2"/>
      <c r="H170" s="2"/>
    </row>
    <row r="171" spans="1:8" ht="18">
      <c r="A171" s="89"/>
      <c r="C171" s="88"/>
      <c r="D171" s="88"/>
      <c r="E171" s="71"/>
      <c r="F171" s="2"/>
      <c r="G171" s="2"/>
      <c r="H171" s="2"/>
    </row>
    <row r="172" spans="1:8" ht="21.5">
      <c r="A172" s="97" t="s">
        <v>242</v>
      </c>
      <c r="B172" s="89"/>
      <c r="C172" s="89"/>
      <c r="D172" s="89"/>
      <c r="E172" s="65"/>
    </row>
    <row r="173" spans="1:8" ht="15.5">
      <c r="A173" s="89" t="s">
        <v>375</v>
      </c>
      <c r="B173" s="89">
        <f>1.8*B140</f>
        <v>171.81696733044174</v>
      </c>
      <c r="C173" s="89"/>
      <c r="D173" s="89"/>
      <c r="E173" s="65"/>
    </row>
    <row r="174" spans="1:8" ht="18">
      <c r="A174" s="88" t="s">
        <v>28</v>
      </c>
      <c r="B174" s="95">
        <f>+B144</f>
        <v>110</v>
      </c>
      <c r="C174" s="89"/>
      <c r="D174" s="89"/>
      <c r="E174" s="65"/>
    </row>
    <row r="175" spans="1:8" ht="18">
      <c r="A175" s="88" t="s">
        <v>29</v>
      </c>
      <c r="B175" s="95">
        <f>B11*60/(3.1416*B167/1000)</f>
        <v>75.787890913941339</v>
      </c>
      <c r="C175" s="89"/>
      <c r="D175" s="89"/>
      <c r="E175" s="65"/>
    </row>
    <row r="176" spans="1:8" ht="18">
      <c r="A176" s="88" t="s">
        <v>30</v>
      </c>
      <c r="B176" s="95">
        <f>+B142/B175</f>
        <v>12.930825599999999</v>
      </c>
      <c r="C176" s="89"/>
      <c r="D176" s="89"/>
      <c r="E176" s="65"/>
    </row>
    <row r="177" spans="1:5" ht="19.5">
      <c r="A177" s="134" t="s">
        <v>48</v>
      </c>
      <c r="B177" s="135">
        <f>LOOKUP(B176,'DATA BANK'!A77:A116)</f>
        <v>12.5</v>
      </c>
      <c r="C177" s="129"/>
      <c r="D177" s="89"/>
      <c r="E177" s="65"/>
    </row>
    <row r="178" spans="1:5" ht="19.5">
      <c r="A178" s="134" t="s">
        <v>244</v>
      </c>
      <c r="B178" s="135" t="str">
        <f>LOOKUP(B176,'DATA BANK'!A77:B116)</f>
        <v>2-Stage</v>
      </c>
      <c r="C178" s="129"/>
      <c r="D178" s="89"/>
      <c r="E178" s="65"/>
    </row>
    <row r="179" spans="1:5" ht="18">
      <c r="A179" s="88"/>
      <c r="B179" s="4"/>
      <c r="C179" s="4"/>
      <c r="D179" s="89"/>
      <c r="E179" s="65"/>
    </row>
    <row r="180" spans="1:5" ht="21.5">
      <c r="A180" s="97" t="s">
        <v>243</v>
      </c>
      <c r="B180" s="136"/>
      <c r="C180" s="89"/>
      <c r="D180" s="89"/>
      <c r="E180" s="65"/>
    </row>
    <row r="181" spans="1:5" ht="18">
      <c r="A181" s="88" t="s">
        <v>57</v>
      </c>
      <c r="B181" s="137" t="s">
        <v>58</v>
      </c>
      <c r="C181" s="89"/>
      <c r="D181" s="89"/>
      <c r="E181" s="65"/>
    </row>
    <row r="182" spans="1:5" ht="19.5">
      <c r="A182" s="134" t="s">
        <v>31</v>
      </c>
      <c r="B182" s="138">
        <f>100*(B144*1.36*1.5)/B142</f>
        <v>22.897959183673475</v>
      </c>
      <c r="C182" s="89"/>
      <c r="D182" s="89"/>
      <c r="E182" s="65"/>
    </row>
    <row r="183" spans="1:5" ht="18">
      <c r="A183" s="88"/>
      <c r="B183" s="4"/>
      <c r="C183" s="89"/>
      <c r="D183" s="89"/>
      <c r="E183" s="65"/>
    </row>
    <row r="184" spans="1:5" ht="21.5">
      <c r="A184" s="97" t="s">
        <v>245</v>
      </c>
      <c r="B184" s="136"/>
      <c r="C184" s="89"/>
      <c r="D184" s="89"/>
      <c r="E184" s="65"/>
    </row>
    <row r="185" spans="1:5" ht="18">
      <c r="A185" s="88" t="s">
        <v>57</v>
      </c>
      <c r="B185" s="95" t="s">
        <v>58</v>
      </c>
      <c r="C185" s="89"/>
      <c r="D185" s="89"/>
      <c r="E185" s="65"/>
    </row>
    <row r="186" spans="1:5" ht="18">
      <c r="A186" s="88" t="s">
        <v>59</v>
      </c>
      <c r="B186" s="95">
        <f>+B142/B177</f>
        <v>78.400000000000006</v>
      </c>
      <c r="C186" s="89"/>
      <c r="D186" s="89"/>
      <c r="E186" s="65"/>
    </row>
    <row r="187" spans="1:5" ht="19.5">
      <c r="A187" s="134" t="s">
        <v>354</v>
      </c>
      <c r="B187" s="138">
        <f xml:space="preserve"> +B144 *1.5/B186</f>
        <v>2.1045918367346936</v>
      </c>
      <c r="C187" s="89"/>
      <c r="D187" s="89"/>
      <c r="E187" s="65"/>
    </row>
    <row r="188" spans="1:5" ht="18">
      <c r="A188" s="88"/>
      <c r="B188" s="4"/>
      <c r="C188" s="89"/>
      <c r="D188" s="89"/>
      <c r="E188" s="65"/>
    </row>
    <row r="189" spans="1:5" ht="21.5">
      <c r="A189" s="97" t="s">
        <v>246</v>
      </c>
      <c r="B189" s="103"/>
      <c r="C189" s="89"/>
      <c r="D189" s="89"/>
      <c r="E189" s="65"/>
    </row>
    <row r="190" spans="1:5" ht="18">
      <c r="A190" s="103" t="s">
        <v>57</v>
      </c>
      <c r="B190" s="104" t="s">
        <v>49</v>
      </c>
      <c r="C190" s="89"/>
      <c r="D190" s="89"/>
      <c r="E190" s="65"/>
    </row>
    <row r="191" spans="1:5" ht="19.5">
      <c r="A191" s="139" t="s">
        <v>60</v>
      </c>
      <c r="B191" s="140">
        <f>+((B144*1.36*1.5)*4500)/(2*3.1416*B142)</f>
        <v>163.99416909620993</v>
      </c>
      <c r="C191" s="89"/>
      <c r="D191" s="89"/>
      <c r="E191" s="65"/>
    </row>
    <row r="192" spans="1:5" ht="15.5">
      <c r="A192" s="141"/>
      <c r="B192" s="4"/>
      <c r="C192" s="89"/>
      <c r="D192" s="89"/>
      <c r="E192" s="65"/>
    </row>
    <row r="193" spans="1:5" ht="21.5">
      <c r="A193" s="97" t="s">
        <v>250</v>
      </c>
      <c r="B193" s="142"/>
      <c r="C193" s="89"/>
      <c r="D193" s="89"/>
      <c r="E193" s="65"/>
    </row>
    <row r="194" spans="1:5" ht="21.5">
      <c r="A194" s="96"/>
      <c r="B194" s="142"/>
      <c r="C194" s="89"/>
      <c r="D194" s="89"/>
      <c r="E194" s="65"/>
    </row>
    <row r="195" spans="1:5" ht="19.5">
      <c r="A195" s="143" t="s">
        <v>251</v>
      </c>
      <c r="B195" s="142"/>
      <c r="C195" s="89"/>
      <c r="D195" s="89"/>
      <c r="E195" s="65"/>
    </row>
    <row r="196" spans="1:5" ht="18">
      <c r="A196" s="88" t="s">
        <v>247</v>
      </c>
      <c r="B196" s="95">
        <f>+B186</f>
        <v>78.400000000000006</v>
      </c>
      <c r="C196" s="88"/>
      <c r="D196" s="89"/>
      <c r="E196" s="65"/>
    </row>
    <row r="197" spans="1:5" ht="18">
      <c r="A197" s="88" t="s">
        <v>248</v>
      </c>
      <c r="B197" s="95">
        <f>+B177</f>
        <v>12.5</v>
      </c>
      <c r="C197" s="4"/>
      <c r="D197" s="89"/>
      <c r="E197" s="65"/>
    </row>
    <row r="198" spans="1:5" ht="19.5">
      <c r="A198" s="88" t="s">
        <v>270</v>
      </c>
      <c r="B198" s="95">
        <f>+(4500*+B144*1.36)/(2*3.1416*B196)</f>
        <v>1366.6180758017492</v>
      </c>
      <c r="C198" s="4"/>
      <c r="D198" s="89"/>
      <c r="E198" s="65"/>
    </row>
    <row r="199" spans="1:5" ht="18">
      <c r="A199" s="101" t="s">
        <v>268</v>
      </c>
      <c r="B199" s="87">
        <f>+D146-180</f>
        <v>30</v>
      </c>
      <c r="C199" s="4"/>
      <c r="D199" s="89"/>
      <c r="E199" s="65"/>
    </row>
    <row r="200" spans="1:5" ht="18">
      <c r="A200" s="88" t="s">
        <v>308</v>
      </c>
      <c r="B200" s="87">
        <v>0.5</v>
      </c>
      <c r="C200" s="4"/>
      <c r="D200" s="89"/>
      <c r="E200" s="65"/>
    </row>
    <row r="201" spans="1:5" ht="18">
      <c r="A201" s="88" t="s">
        <v>309</v>
      </c>
      <c r="B201" s="87">
        <v>0.86599999999999999</v>
      </c>
      <c r="C201" s="4"/>
      <c r="D201" s="89"/>
      <c r="E201" s="65"/>
    </row>
    <row r="202" spans="1:5" ht="18">
      <c r="A202" s="88" t="s">
        <v>249</v>
      </c>
      <c r="B202" s="87">
        <f>'DATA BANK'!B69</f>
        <v>6000</v>
      </c>
      <c r="C202" s="4"/>
      <c r="D202" s="89"/>
      <c r="E202" s="65"/>
    </row>
    <row r="203" spans="1:5" ht="18">
      <c r="A203" s="88" t="s">
        <v>32</v>
      </c>
      <c r="B203" s="95">
        <f>+(((B156+B151*B201)^2+(B202-B151*B200)^2)^(0.5))/1000</f>
        <v>59.175160692429564</v>
      </c>
      <c r="C203" s="4"/>
      <c r="D203" s="89"/>
      <c r="E203" s="65"/>
    </row>
    <row r="204" spans="1:5" ht="18">
      <c r="A204" s="88" t="s">
        <v>33</v>
      </c>
      <c r="B204" s="95">
        <f>+B203/2</f>
        <v>29.587580346214782</v>
      </c>
      <c r="C204" s="4"/>
      <c r="D204" s="89"/>
      <c r="E204" s="65"/>
    </row>
    <row r="205" spans="1:5" ht="18">
      <c r="A205" s="88" t="s">
        <v>269</v>
      </c>
      <c r="B205" s="95">
        <v>32.5</v>
      </c>
      <c r="C205" s="4"/>
      <c r="D205" s="89"/>
      <c r="E205" s="65"/>
    </row>
    <row r="206" spans="1:5" ht="19.5">
      <c r="A206" s="88" t="s">
        <v>271</v>
      </c>
      <c r="B206" s="95">
        <f>+B204*B205</f>
        <v>961.5963612519804</v>
      </c>
      <c r="C206" s="4"/>
      <c r="D206" s="89"/>
      <c r="E206" s="65"/>
    </row>
    <row r="207" spans="1:5" ht="18">
      <c r="A207" s="88" t="s">
        <v>272</v>
      </c>
      <c r="B207" s="95">
        <f>+((((2*B206)^2+(1.5*B198)^2)^0.5)*(16/(3.1416*6.374)))^(1/3)*10</f>
        <v>130.95784225791635</v>
      </c>
      <c r="C207" s="4"/>
      <c r="D207" s="89"/>
      <c r="E207" s="65"/>
    </row>
    <row r="208" spans="1:5" ht="19.5">
      <c r="A208" s="130" t="s">
        <v>40</v>
      </c>
      <c r="B208" s="133">
        <f>B207+10</f>
        <v>140.95784225791635</v>
      </c>
      <c r="C208" s="4"/>
      <c r="D208" s="89"/>
      <c r="E208" s="65"/>
    </row>
    <row r="209" spans="1:5" ht="18">
      <c r="A209" s="88"/>
      <c r="B209" s="88"/>
      <c r="C209" s="4"/>
      <c r="D209" s="89"/>
      <c r="E209" s="65"/>
    </row>
    <row r="210" spans="1:5" ht="19.5">
      <c r="A210" s="143" t="s">
        <v>252</v>
      </c>
      <c r="B210" s="89"/>
      <c r="C210" s="89"/>
      <c r="D210" s="89"/>
      <c r="E210" s="65"/>
    </row>
    <row r="211" spans="1:5" ht="18">
      <c r="A211" s="88" t="s">
        <v>254</v>
      </c>
      <c r="B211" s="87">
        <f>'DATA BANK'!C71</f>
        <v>3000</v>
      </c>
      <c r="C211" s="4"/>
      <c r="D211" s="89"/>
      <c r="E211" s="65"/>
    </row>
    <row r="212" spans="1:5" ht="19.5">
      <c r="A212" s="88" t="s">
        <v>290</v>
      </c>
      <c r="B212" s="95">
        <f>+B151+(B33*B34*B35*(B54+B59))+B78+B92+B116+(B35*D99*D100*B59*1*1*0.0349)-(B59*B10*B35)</f>
        <v>18568.367170905905</v>
      </c>
      <c r="C212" s="4"/>
      <c r="D212" s="89"/>
      <c r="E212" s="65"/>
    </row>
    <row r="213" spans="1:5" ht="19.5">
      <c r="A213" s="88" t="s">
        <v>291</v>
      </c>
      <c r="B213" s="95">
        <f>+B212+100+B80</f>
        <v>18898.367170905905</v>
      </c>
      <c r="C213" s="4"/>
      <c r="D213" s="89"/>
      <c r="E213" s="65"/>
    </row>
    <row r="214" spans="1:5" ht="18">
      <c r="A214" s="88" t="s">
        <v>288</v>
      </c>
      <c r="B214" s="95">
        <f>+(((B212+B213)^2+(B211)^2)^(0.5))/1000</f>
        <v>37.586648989234206</v>
      </c>
      <c r="C214" s="4"/>
      <c r="D214" s="89"/>
      <c r="E214" s="65"/>
    </row>
    <row r="215" spans="1:5" ht="18">
      <c r="A215" s="88" t="s">
        <v>33</v>
      </c>
      <c r="B215" s="95">
        <f>+B214/2</f>
        <v>18.793324494617103</v>
      </c>
      <c r="C215" s="4"/>
      <c r="D215" s="89"/>
      <c r="E215" s="65"/>
    </row>
    <row r="216" spans="1:5" ht="18">
      <c r="A216" s="88" t="s">
        <v>269</v>
      </c>
      <c r="B216" s="95">
        <f>+B205</f>
        <v>32.5</v>
      </c>
      <c r="C216" s="4"/>
      <c r="D216" s="89"/>
      <c r="E216" s="65"/>
    </row>
    <row r="217" spans="1:5" ht="18">
      <c r="A217" s="88" t="s">
        <v>34</v>
      </c>
      <c r="B217" s="95">
        <f>+B215*B216</f>
        <v>610.78304607505584</v>
      </c>
      <c r="C217" s="4"/>
      <c r="D217" s="89"/>
      <c r="E217" s="65"/>
    </row>
    <row r="218" spans="1:5" ht="18">
      <c r="A218" s="88" t="s">
        <v>289</v>
      </c>
      <c r="B218" s="95">
        <f>+((((2*B217)*(16/(3.1416*6.374)))^(1/3)*10))</f>
        <v>99.195354727344863</v>
      </c>
      <c r="C218" s="4"/>
      <c r="D218" s="89"/>
      <c r="E218" s="65"/>
    </row>
    <row r="219" spans="1:5" ht="19.5">
      <c r="A219" s="130" t="s">
        <v>40</v>
      </c>
      <c r="B219" s="133">
        <f>B218+10</f>
        <v>109.19535472734486</v>
      </c>
      <c r="C219" s="4"/>
      <c r="D219" s="89"/>
      <c r="E219" s="65"/>
    </row>
    <row r="220" spans="1:5" ht="15.5">
      <c r="A220" s="89"/>
      <c r="B220" s="89"/>
      <c r="C220" s="89"/>
      <c r="D220" s="89"/>
      <c r="E220" s="65"/>
    </row>
    <row r="221" spans="1:5" ht="19.5">
      <c r="A221" s="143" t="s">
        <v>253</v>
      </c>
      <c r="B221" s="89"/>
      <c r="C221" s="89"/>
      <c r="D221" s="89"/>
      <c r="E221" s="65"/>
    </row>
    <row r="222" spans="1:5" ht="18">
      <c r="A222" s="88" t="s">
        <v>254</v>
      </c>
      <c r="B222" s="87">
        <f>'DATA BANK'!D71</f>
        <v>3000</v>
      </c>
      <c r="C222" s="88"/>
      <c r="D222" s="89"/>
      <c r="E222" s="65"/>
    </row>
    <row r="223" spans="1:5" ht="18">
      <c r="A223" s="88" t="s">
        <v>255</v>
      </c>
      <c r="B223" s="95">
        <f>+B151</f>
        <v>16429.072538880304</v>
      </c>
      <c r="C223" s="4"/>
      <c r="D223" s="89"/>
      <c r="E223" s="65"/>
    </row>
    <row r="224" spans="1:5" ht="18">
      <c r="A224" s="101" t="s">
        <v>283</v>
      </c>
      <c r="B224" s="95">
        <v>30</v>
      </c>
      <c r="C224" s="4"/>
      <c r="D224" s="89"/>
      <c r="E224" s="65"/>
    </row>
    <row r="225" spans="1:5" ht="18">
      <c r="A225" s="88" t="s">
        <v>284</v>
      </c>
      <c r="B225" s="95">
        <f>SIN(B224*3.1417/180)</f>
        <v>0.50001549403968404</v>
      </c>
      <c r="C225" s="4"/>
      <c r="D225" s="89"/>
      <c r="E225" s="65"/>
    </row>
    <row r="226" spans="1:5" ht="18">
      <c r="A226" s="88" t="s">
        <v>285</v>
      </c>
      <c r="B226" s="95">
        <v>-0.96499999999999997</v>
      </c>
      <c r="C226" s="4"/>
      <c r="D226" s="89"/>
      <c r="E226" s="65"/>
    </row>
    <row r="227" spans="1:5" ht="18">
      <c r="A227" s="88" t="s">
        <v>286</v>
      </c>
      <c r="B227" s="95">
        <f>((((2*B223*B225)^2)+(B222^2)-(2*2*B223*B225*B222*B226))^0.5)/1000</f>
        <v>19.340590237285969</v>
      </c>
      <c r="C227" s="4"/>
      <c r="D227" s="89"/>
      <c r="E227" s="65"/>
    </row>
    <row r="228" spans="1:5" ht="18">
      <c r="A228" s="88" t="s">
        <v>287</v>
      </c>
      <c r="B228" s="95">
        <f>+B227/2</f>
        <v>9.6702951186429846</v>
      </c>
      <c r="C228" s="4"/>
      <c r="D228" s="89"/>
      <c r="E228" s="65"/>
    </row>
    <row r="229" spans="1:5" ht="18">
      <c r="A229" s="88" t="s">
        <v>269</v>
      </c>
      <c r="B229" s="95">
        <f>+B216</f>
        <v>32.5</v>
      </c>
      <c r="C229" s="4"/>
      <c r="D229" s="89"/>
      <c r="E229" s="65"/>
    </row>
    <row r="230" spans="1:5" ht="19.5">
      <c r="A230" s="88" t="s">
        <v>271</v>
      </c>
      <c r="B230" s="95">
        <f>+B228*B229</f>
        <v>314.28459135589702</v>
      </c>
      <c r="C230" s="4"/>
      <c r="D230" s="89"/>
      <c r="E230" s="65"/>
    </row>
    <row r="231" spans="1:5" ht="18">
      <c r="A231" s="88" t="s">
        <v>272</v>
      </c>
      <c r="B231" s="95">
        <f>+((((2*B230)*(16/(3.1416*6.374)))^(1/3)*10))</f>
        <v>79.488330093639604</v>
      </c>
      <c r="C231" s="4"/>
      <c r="D231" s="89"/>
      <c r="E231" s="65"/>
    </row>
    <row r="232" spans="1:5" ht="19.5">
      <c r="A232" s="130" t="s">
        <v>40</v>
      </c>
      <c r="B232" s="133">
        <f>B231+10</f>
        <v>89.488330093639604</v>
      </c>
      <c r="C232" s="4"/>
      <c r="D232" s="89"/>
      <c r="E232" s="65"/>
    </row>
    <row r="233" spans="1:5" ht="18">
      <c r="A233" s="89"/>
      <c r="B233" s="88"/>
      <c r="C233" s="4"/>
      <c r="D233" s="89"/>
      <c r="E233" s="65"/>
    </row>
    <row r="234" spans="1:5" ht="21.5">
      <c r="A234" s="144" t="s">
        <v>135</v>
      </c>
      <c r="B234" s="145" t="str">
        <f>+B1</f>
        <v>BC-603</v>
      </c>
      <c r="C234" s="4"/>
      <c r="D234" s="89"/>
    </row>
    <row r="235" spans="1:5" ht="15.5">
      <c r="A235" s="89"/>
      <c r="B235" s="89"/>
      <c r="C235" s="89"/>
      <c r="D235" s="89"/>
    </row>
    <row r="236" spans="1:5" ht="19.5">
      <c r="A236" s="75" t="s">
        <v>256</v>
      </c>
      <c r="B236" s="82">
        <f>+B5</f>
        <v>1.2</v>
      </c>
      <c r="C236" s="76"/>
      <c r="D236" s="30"/>
    </row>
    <row r="237" spans="1:5" ht="19.5">
      <c r="A237" s="75" t="s">
        <v>257</v>
      </c>
      <c r="B237" s="82" t="str">
        <f>+B17</f>
        <v>HD</v>
      </c>
      <c r="C237" s="76"/>
      <c r="D237" s="30"/>
    </row>
    <row r="238" spans="1:5" ht="19.5">
      <c r="A238" s="75" t="s">
        <v>292</v>
      </c>
      <c r="B238" s="82">
        <f>+B11</f>
        <v>2.5</v>
      </c>
      <c r="C238" s="76"/>
      <c r="D238" s="30"/>
    </row>
    <row r="239" spans="1:5" ht="19.5">
      <c r="A239" s="75" t="s">
        <v>293</v>
      </c>
      <c r="B239" s="84">
        <f>+B12</f>
        <v>800</v>
      </c>
      <c r="C239" s="89"/>
      <c r="D239" s="4"/>
    </row>
    <row r="240" spans="1:5" ht="19.5">
      <c r="A240" s="75" t="s">
        <v>294</v>
      </c>
      <c r="B240" s="84">
        <f>+B170</f>
        <v>133779.7164</v>
      </c>
      <c r="C240" s="89"/>
      <c r="D240" s="4"/>
    </row>
    <row r="241" spans="1:4" ht="19.5">
      <c r="A241" s="75" t="s">
        <v>258</v>
      </c>
      <c r="B241" s="84">
        <f>+B144</f>
        <v>110</v>
      </c>
      <c r="C241" s="89"/>
      <c r="D241" s="4"/>
    </row>
    <row r="242" spans="1:4" ht="19.5">
      <c r="A242" s="75" t="s">
        <v>259</v>
      </c>
      <c r="B242" s="84">
        <f>+B142</f>
        <v>980</v>
      </c>
      <c r="C242" s="89"/>
      <c r="D242" s="4"/>
    </row>
    <row r="243" spans="1:4" ht="19.5">
      <c r="A243" s="75" t="s">
        <v>260</v>
      </c>
      <c r="B243" s="81">
        <f>+B156</f>
        <v>44906.131606272829</v>
      </c>
      <c r="C243" s="89"/>
      <c r="D243" s="4"/>
    </row>
    <row r="244" spans="1:4" ht="19.5">
      <c r="A244" s="75" t="s">
        <v>261</v>
      </c>
      <c r="B244" s="81">
        <f>+B151</f>
        <v>16429.072538880304</v>
      </c>
      <c r="C244" s="89"/>
      <c r="D244" s="4"/>
    </row>
    <row r="245" spans="1:4" ht="19.5">
      <c r="A245" s="75" t="s">
        <v>310</v>
      </c>
      <c r="B245" s="82">
        <v>500</v>
      </c>
      <c r="C245" s="89"/>
      <c r="D245" s="4"/>
    </row>
    <row r="246" spans="1:4" ht="19.5">
      <c r="A246" s="75" t="s">
        <v>311</v>
      </c>
      <c r="B246" s="82">
        <v>315</v>
      </c>
      <c r="C246" s="89"/>
      <c r="D246" s="4"/>
    </row>
    <row r="247" spans="1:4" ht="19.5">
      <c r="A247" s="75" t="s">
        <v>312</v>
      </c>
      <c r="B247" s="82">
        <v>400</v>
      </c>
      <c r="C247" s="89"/>
      <c r="D247" s="4"/>
    </row>
    <row r="248" spans="1:4" ht="19.5">
      <c r="A248" s="75" t="s">
        <v>313</v>
      </c>
      <c r="B248" s="82">
        <v>114.3</v>
      </c>
      <c r="C248" s="89"/>
      <c r="D248" s="4"/>
    </row>
    <row r="249" spans="1:4" ht="19.5">
      <c r="A249" s="75" t="s">
        <v>314</v>
      </c>
      <c r="B249" s="82">
        <v>139.69999999999999</v>
      </c>
      <c r="C249" s="89"/>
      <c r="D249" s="4"/>
    </row>
    <row r="250" spans="1:4" ht="19.5">
      <c r="A250" s="75" t="s">
        <v>262</v>
      </c>
      <c r="B250" s="83">
        <f>+B176</f>
        <v>12.930825599999999</v>
      </c>
      <c r="C250" s="4"/>
      <c r="D250" s="30"/>
    </row>
    <row r="251" spans="1:4" ht="19.5">
      <c r="A251" s="75" t="s">
        <v>267</v>
      </c>
      <c r="B251" s="82" t="str">
        <f>+B178</f>
        <v>2-Stage</v>
      </c>
      <c r="C251" s="76"/>
      <c r="D251" s="30"/>
    </row>
    <row r="252" spans="1:4" ht="19.5">
      <c r="A252" s="75" t="s">
        <v>263</v>
      </c>
      <c r="B252" s="81">
        <f>+B174</f>
        <v>110</v>
      </c>
      <c r="C252" s="89"/>
      <c r="D252" s="4"/>
    </row>
    <row r="253" spans="1:4" ht="19.5">
      <c r="A253" s="75" t="s">
        <v>264</v>
      </c>
      <c r="B253" s="84" t="str">
        <f>+B181</f>
        <v>Gear</v>
      </c>
      <c r="C253" s="89"/>
      <c r="D253" s="4"/>
    </row>
    <row r="254" spans="1:4" ht="19.5">
      <c r="A254" s="77" t="s">
        <v>266</v>
      </c>
      <c r="B254" s="81">
        <f>+B182</f>
        <v>22.897959183673475</v>
      </c>
      <c r="C254" s="89"/>
      <c r="D254" s="4"/>
    </row>
    <row r="255" spans="1:4" ht="19.5">
      <c r="A255" s="75" t="s">
        <v>265</v>
      </c>
      <c r="B255" s="81" t="str">
        <f>+B185</f>
        <v>Gear</v>
      </c>
      <c r="C255" s="89"/>
      <c r="D255" s="4"/>
    </row>
    <row r="256" spans="1:4" ht="15.75" customHeight="1">
      <c r="A256" s="75" t="s">
        <v>355</v>
      </c>
      <c r="B256" s="81">
        <f>+B187</f>
        <v>2.1045918367346936</v>
      </c>
      <c r="C256" s="89"/>
      <c r="D256" s="4"/>
    </row>
    <row r="257" spans="1:5" ht="19.5">
      <c r="A257" s="160" t="s">
        <v>302</v>
      </c>
      <c r="B257" s="161">
        <f>+B191</f>
        <v>163.99416909620993</v>
      </c>
      <c r="D257" s="4"/>
    </row>
    <row r="258" spans="1:5" ht="15.5">
      <c r="A258" s="89"/>
      <c r="B258" s="4"/>
      <c r="C258" s="4"/>
      <c r="D258" s="4"/>
    </row>
    <row r="259" spans="1:5" ht="15.5">
      <c r="A259" s="89"/>
      <c r="E259" s="65"/>
    </row>
    <row r="260" spans="1:5" ht="15.5">
      <c r="A260" s="89"/>
      <c r="B260" s="89"/>
      <c r="C260" s="89"/>
      <c r="D260" s="89"/>
      <c r="E260" s="65"/>
    </row>
    <row r="261" spans="1:5" ht="15.5">
      <c r="C261" s="89"/>
      <c r="D261" s="89"/>
      <c r="E261" s="65"/>
    </row>
    <row r="262" spans="1:5" ht="19.5">
      <c r="C262" s="146"/>
      <c r="D262" s="89"/>
      <c r="E262" s="65"/>
    </row>
    <row r="263" spans="1:5" ht="15.5">
      <c r="C263" s="89"/>
      <c r="D263" s="89"/>
      <c r="E263" s="65"/>
    </row>
    <row r="264" spans="1:5" ht="15.5">
      <c r="C264" s="89"/>
      <c r="D264" s="89"/>
      <c r="E264" s="65"/>
    </row>
    <row r="265" spans="1:5" ht="15.5">
      <c r="C265" s="89"/>
      <c r="D265" s="89"/>
      <c r="E265" s="65"/>
    </row>
    <row r="266" spans="1:5" ht="15.5">
      <c r="C266" s="89"/>
      <c r="D266" s="89"/>
      <c r="E266" s="65"/>
    </row>
    <row r="267" spans="1:5" ht="15.5">
      <c r="C267" s="89"/>
      <c r="D267" s="89"/>
      <c r="E267" s="65"/>
    </row>
    <row r="268" spans="1:5" ht="15.5">
      <c r="C268" s="89"/>
      <c r="D268" s="89"/>
      <c r="E268" s="65"/>
    </row>
    <row r="269" spans="1:5" ht="15.5">
      <c r="C269" s="89"/>
      <c r="D269" s="89"/>
      <c r="E269" s="65"/>
    </row>
    <row r="270" spans="1:5" ht="15.5">
      <c r="C270" s="89"/>
      <c r="D270" s="89"/>
      <c r="E270" s="65"/>
    </row>
    <row r="271" spans="1:5" ht="15.5">
      <c r="C271" s="89"/>
      <c r="D271" s="89"/>
      <c r="E271" s="65"/>
    </row>
    <row r="272" spans="1:5" ht="15.5">
      <c r="C272" s="89"/>
      <c r="D272" s="89"/>
      <c r="E272" s="65"/>
    </row>
    <row r="273" spans="3:5" ht="15.5">
      <c r="C273" s="89"/>
      <c r="D273" s="89"/>
      <c r="E273" s="65"/>
    </row>
    <row r="274" spans="3:5" ht="15.5">
      <c r="C274" s="89"/>
      <c r="D274" s="89"/>
      <c r="E274" s="65"/>
    </row>
    <row r="275" spans="3:5" ht="19.5">
      <c r="C275" s="147"/>
      <c r="D275" s="89"/>
      <c r="E275" s="65"/>
    </row>
    <row r="276" spans="3:5" ht="19.5">
      <c r="C276" s="147"/>
      <c r="D276" s="89"/>
      <c r="E276" s="65"/>
    </row>
    <row r="277" spans="3:5" ht="15.5">
      <c r="C277" s="89"/>
      <c r="D277" s="89"/>
      <c r="E277" s="65"/>
    </row>
    <row r="278" spans="3:5" ht="15.5">
      <c r="C278" s="65"/>
      <c r="D278" s="65"/>
      <c r="E278" s="65"/>
    </row>
    <row r="279" spans="3:5" ht="15.5">
      <c r="C279" s="65"/>
      <c r="D279" s="65"/>
      <c r="E279" s="65"/>
    </row>
    <row r="280" spans="3:5" ht="15.5">
      <c r="C280" s="65"/>
      <c r="D280" s="65"/>
      <c r="E280" s="65"/>
    </row>
    <row r="281" spans="3:5" ht="15.5">
      <c r="C281" s="65"/>
      <c r="D281" s="65"/>
      <c r="E281" s="65"/>
    </row>
    <row r="282" spans="3:5" ht="15.5">
      <c r="C282" s="65"/>
      <c r="D282" s="65"/>
      <c r="E282" s="65"/>
    </row>
    <row r="283" spans="3:5" ht="15.5">
      <c r="C283" s="65"/>
      <c r="D283" s="65"/>
      <c r="E283" s="65"/>
    </row>
    <row r="284" spans="3:5" ht="15.5">
      <c r="C284" s="65"/>
      <c r="D284" s="65"/>
      <c r="E284" s="65"/>
    </row>
    <row r="285" spans="3:5" ht="15.5">
      <c r="C285" s="65"/>
      <c r="D285" s="65"/>
      <c r="E285" s="65"/>
    </row>
    <row r="286" spans="3:5" ht="15.5">
      <c r="C286" s="65"/>
      <c r="D286" s="65"/>
      <c r="E286" s="65"/>
    </row>
    <row r="287" spans="3:5" ht="15.5">
      <c r="C287" s="65"/>
      <c r="D287" s="65"/>
      <c r="E287" s="65"/>
    </row>
    <row r="288" spans="3:5" ht="15.5">
      <c r="C288" s="65"/>
      <c r="D288" s="65"/>
      <c r="E288" s="65"/>
    </row>
    <row r="289" spans="3:5" ht="15.5">
      <c r="C289" s="65"/>
      <c r="D289" s="65"/>
      <c r="E289" s="65"/>
    </row>
    <row r="290" spans="3:5" ht="15.5">
      <c r="C290" s="65"/>
      <c r="D290" s="65"/>
      <c r="E290" s="65"/>
    </row>
    <row r="291" spans="3:5" ht="15.5">
      <c r="C291" s="65"/>
      <c r="D291" s="65"/>
      <c r="E291" s="65"/>
    </row>
    <row r="292" spans="3:5" ht="15.5">
      <c r="C292" s="65"/>
      <c r="D292" s="65"/>
      <c r="E292" s="65"/>
    </row>
    <row r="293" spans="3:5" ht="15.5">
      <c r="C293" s="65"/>
      <c r="D293" s="65"/>
      <c r="E293" s="65"/>
    </row>
    <row r="294" spans="3:5" ht="15.5">
      <c r="C294" s="65"/>
      <c r="D294" s="65"/>
      <c r="E294" s="65"/>
    </row>
    <row r="295" spans="3:5" ht="15.5">
      <c r="C295" s="65"/>
      <c r="D295" s="65"/>
      <c r="E295" s="65"/>
    </row>
    <row r="296" spans="3:5" ht="15.5">
      <c r="C296" s="65"/>
      <c r="D296" s="65"/>
      <c r="E296" s="65"/>
    </row>
    <row r="297" spans="3:5" ht="15.5">
      <c r="C297" s="65"/>
      <c r="D297" s="65"/>
      <c r="E297" s="65"/>
    </row>
    <row r="298" spans="3:5" ht="15.5">
      <c r="C298" s="65"/>
      <c r="D298" s="65"/>
      <c r="E298" s="65"/>
    </row>
    <row r="299" spans="3:5" ht="15.5">
      <c r="C299" s="65"/>
      <c r="D299" s="65"/>
      <c r="E299" s="65"/>
    </row>
    <row r="300" spans="3:5" ht="15.5">
      <c r="C300" s="65"/>
      <c r="D300" s="65"/>
      <c r="E300" s="65"/>
    </row>
    <row r="301" spans="3:5" ht="15.5">
      <c r="C301" s="65"/>
      <c r="D301" s="65"/>
      <c r="E301" s="65"/>
    </row>
    <row r="302" spans="3:5" ht="15.5">
      <c r="C302" s="65"/>
      <c r="D302" s="65"/>
      <c r="E302" s="65"/>
    </row>
    <row r="303" spans="3:5" ht="15.5">
      <c r="C303" s="65"/>
      <c r="D303" s="65"/>
      <c r="E303" s="65"/>
    </row>
    <row r="304" spans="3:5" ht="15.5">
      <c r="C304" s="65"/>
      <c r="D304" s="65"/>
      <c r="E304" s="65"/>
    </row>
    <row r="305" spans="1:5" ht="15.5">
      <c r="C305" s="65"/>
      <c r="D305" s="65"/>
      <c r="E305" s="65"/>
    </row>
    <row r="306" spans="1:5" ht="15.5">
      <c r="C306" s="65"/>
      <c r="D306" s="65"/>
      <c r="E306" s="65"/>
    </row>
    <row r="307" spans="1:5" ht="15.5">
      <c r="A307" s="65"/>
      <c r="B307" s="65"/>
      <c r="C307" s="65"/>
      <c r="D307" s="65"/>
      <c r="E307" s="65"/>
    </row>
    <row r="308" spans="1:5" ht="15.5">
      <c r="A308" s="65"/>
      <c r="B308" s="65"/>
      <c r="C308" s="65"/>
      <c r="D308" s="65"/>
      <c r="E308" s="65"/>
    </row>
    <row r="309" spans="1:5" ht="15.5">
      <c r="A309" s="65"/>
      <c r="B309" s="65"/>
      <c r="C309" s="65"/>
      <c r="D309" s="65"/>
      <c r="E309" s="65"/>
    </row>
    <row r="310" spans="1:5" ht="15.5">
      <c r="A310" s="65"/>
      <c r="B310" s="65"/>
      <c r="C310" s="65"/>
      <c r="D310" s="65"/>
      <c r="E310" s="65"/>
    </row>
    <row r="311" spans="1:5" ht="15.5">
      <c r="A311" s="65"/>
      <c r="B311" s="65"/>
      <c r="C311" s="65"/>
      <c r="D311" s="65"/>
      <c r="E311" s="65"/>
    </row>
    <row r="312" spans="1:5" ht="15.5">
      <c r="A312" s="65"/>
      <c r="B312" s="65"/>
      <c r="C312" s="65"/>
      <c r="D312" s="65"/>
      <c r="E312" s="65"/>
    </row>
    <row r="313" spans="1:5" ht="15.5">
      <c r="A313" s="65"/>
      <c r="B313" s="65"/>
      <c r="C313" s="65"/>
      <c r="D313" s="65"/>
      <c r="E313" s="65"/>
    </row>
    <row r="314" spans="1:5" ht="15.5">
      <c r="A314" s="65"/>
      <c r="B314" s="65"/>
      <c r="C314" s="65"/>
      <c r="D314" s="65"/>
      <c r="E314" s="65"/>
    </row>
    <row r="315" spans="1:5" ht="15.5">
      <c r="A315" s="65"/>
      <c r="B315" s="65"/>
      <c r="C315" s="65"/>
      <c r="D315" s="65"/>
      <c r="E315" s="65"/>
    </row>
    <row r="316" spans="1:5" ht="15.5">
      <c r="A316" s="65"/>
      <c r="B316" s="65"/>
      <c r="C316" s="65"/>
      <c r="D316" s="65"/>
      <c r="E316" s="65"/>
    </row>
    <row r="317" spans="1:5" ht="15.5">
      <c r="A317" s="65"/>
      <c r="B317" s="65"/>
      <c r="C317" s="65"/>
      <c r="D317" s="65"/>
      <c r="E317" s="65"/>
    </row>
    <row r="318" spans="1:5" ht="15.5">
      <c r="A318" s="65"/>
      <c r="B318" s="65"/>
      <c r="C318" s="65"/>
      <c r="D318" s="65"/>
      <c r="E318" s="65"/>
    </row>
    <row r="319" spans="1:5" ht="15.5">
      <c r="A319" s="65"/>
      <c r="B319" s="65"/>
      <c r="C319" s="65"/>
      <c r="D319" s="65"/>
      <c r="E319" s="65"/>
    </row>
    <row r="320" spans="1:5" ht="15.5">
      <c r="A320" s="65"/>
      <c r="B320" s="65"/>
      <c r="C320" s="65"/>
      <c r="D320" s="65"/>
      <c r="E320" s="65"/>
    </row>
    <row r="321" spans="1:5" ht="15.5">
      <c r="A321" s="65"/>
      <c r="B321" s="65"/>
      <c r="C321" s="65"/>
      <c r="D321" s="65"/>
      <c r="E321" s="65"/>
    </row>
    <row r="322" spans="1:5" ht="15.5">
      <c r="A322" s="65"/>
      <c r="B322" s="65"/>
      <c r="C322" s="65"/>
      <c r="D322" s="65"/>
      <c r="E322" s="65"/>
    </row>
    <row r="323" spans="1:5" ht="15.5">
      <c r="A323" s="65"/>
      <c r="B323" s="65"/>
      <c r="C323" s="65"/>
      <c r="D323" s="65"/>
      <c r="E323" s="65"/>
    </row>
    <row r="324" spans="1:5" ht="15.5">
      <c r="A324" s="65"/>
      <c r="B324" s="65"/>
      <c r="C324" s="65"/>
      <c r="D324" s="65"/>
      <c r="E324" s="65"/>
    </row>
    <row r="325" spans="1:5" ht="15.5">
      <c r="A325" s="65"/>
      <c r="B325" s="65"/>
      <c r="C325" s="65"/>
      <c r="D325" s="65"/>
      <c r="E325" s="65"/>
    </row>
    <row r="326" spans="1:5" ht="15.5">
      <c r="A326" s="65"/>
      <c r="B326" s="65"/>
      <c r="C326" s="65"/>
      <c r="D326" s="65"/>
      <c r="E326" s="65"/>
    </row>
    <row r="327" spans="1:5" ht="15.5">
      <c r="A327" s="65"/>
      <c r="B327" s="65"/>
      <c r="C327" s="65"/>
      <c r="D327" s="65"/>
      <c r="E327" s="65"/>
    </row>
    <row r="328" spans="1:5" ht="15.5">
      <c r="A328" s="65"/>
      <c r="B328" s="65"/>
      <c r="C328" s="65"/>
      <c r="D328" s="65"/>
      <c r="E328" s="65"/>
    </row>
    <row r="329" spans="1:5" ht="15.5">
      <c r="A329" s="65"/>
      <c r="B329" s="65"/>
      <c r="C329" s="65"/>
      <c r="D329" s="65"/>
      <c r="E329" s="65"/>
    </row>
    <row r="330" spans="1:5" ht="15.5">
      <c r="A330" s="65"/>
      <c r="B330" s="65"/>
      <c r="C330" s="65"/>
      <c r="D330" s="65"/>
      <c r="E330" s="65"/>
    </row>
    <row r="331" spans="1:5" ht="15.5">
      <c r="A331" s="65"/>
      <c r="B331" s="65"/>
      <c r="C331" s="65"/>
      <c r="D331" s="65"/>
      <c r="E331" s="65"/>
    </row>
    <row r="332" spans="1:5" ht="15.5">
      <c r="A332" s="65"/>
      <c r="B332" s="65"/>
      <c r="C332" s="65"/>
      <c r="D332" s="65"/>
      <c r="E332" s="65"/>
    </row>
    <row r="333" spans="1:5" ht="15.5">
      <c r="A333" s="65"/>
      <c r="B333" s="65"/>
      <c r="C333" s="65"/>
      <c r="D333" s="65"/>
      <c r="E333" s="65"/>
    </row>
    <row r="334" spans="1:5" ht="15.5">
      <c r="A334" s="65"/>
      <c r="B334" s="65"/>
      <c r="C334" s="65"/>
      <c r="D334" s="65"/>
      <c r="E334" s="65"/>
    </row>
    <row r="335" spans="1:5" ht="15.5">
      <c r="A335" s="65"/>
      <c r="B335" s="65"/>
      <c r="C335" s="65"/>
      <c r="D335" s="65"/>
      <c r="E335" s="65"/>
    </row>
    <row r="336" spans="1:5" ht="15.5">
      <c r="A336" s="65"/>
      <c r="B336" s="65"/>
      <c r="C336" s="65"/>
      <c r="D336" s="65"/>
      <c r="E336" s="65"/>
    </row>
    <row r="337" spans="1:5" ht="15.5">
      <c r="A337" s="65"/>
      <c r="B337" s="65"/>
      <c r="C337" s="65"/>
      <c r="D337" s="65"/>
      <c r="E337" s="65"/>
    </row>
    <row r="338" spans="1:5" ht="15.5">
      <c r="A338" s="65"/>
      <c r="B338" s="65"/>
      <c r="C338" s="65"/>
      <c r="D338" s="65"/>
      <c r="E338" s="65"/>
    </row>
    <row r="339" spans="1:5" ht="15.5">
      <c r="A339" s="65"/>
      <c r="B339" s="65"/>
      <c r="C339" s="65"/>
      <c r="D339" s="65"/>
      <c r="E339" s="65"/>
    </row>
    <row r="340" spans="1:5" ht="15.5">
      <c r="A340" s="65"/>
      <c r="B340" s="65"/>
      <c r="C340" s="65"/>
      <c r="D340" s="65"/>
      <c r="E340" s="65"/>
    </row>
    <row r="341" spans="1:5" ht="15.5">
      <c r="A341" s="65"/>
      <c r="B341" s="65"/>
      <c r="C341" s="65"/>
      <c r="D341" s="65"/>
      <c r="E341" s="65"/>
    </row>
    <row r="342" spans="1:5" ht="15.5">
      <c r="A342" s="65"/>
      <c r="B342" s="65"/>
      <c r="C342" s="65"/>
      <c r="D342" s="65"/>
      <c r="E342" s="65"/>
    </row>
    <row r="343" spans="1:5" ht="15.5">
      <c r="A343" s="65"/>
      <c r="B343" s="65"/>
      <c r="C343" s="65"/>
      <c r="D343" s="65"/>
      <c r="E343" s="65"/>
    </row>
    <row r="344" spans="1:5" ht="15.5">
      <c r="A344" s="65"/>
      <c r="B344" s="65"/>
      <c r="C344" s="65"/>
      <c r="D344" s="65"/>
      <c r="E344" s="65"/>
    </row>
    <row r="345" spans="1:5" ht="15.5">
      <c r="A345" s="65"/>
      <c r="B345" s="65"/>
      <c r="C345" s="65"/>
      <c r="D345" s="65"/>
      <c r="E345" s="65"/>
    </row>
    <row r="346" spans="1:5" ht="15.5">
      <c r="A346" s="65"/>
      <c r="B346" s="65"/>
      <c r="C346" s="65"/>
      <c r="D346" s="65"/>
      <c r="E346" s="65"/>
    </row>
    <row r="347" spans="1:5" ht="15.5">
      <c r="A347" s="65"/>
      <c r="B347" s="65"/>
      <c r="C347" s="65"/>
      <c r="D347" s="65"/>
      <c r="E347" s="65"/>
    </row>
    <row r="348" spans="1:5" ht="15.5">
      <c r="A348" s="65"/>
      <c r="B348" s="65"/>
      <c r="C348" s="65"/>
      <c r="D348" s="65"/>
      <c r="E348" s="65"/>
    </row>
    <row r="349" spans="1:5" ht="15.5">
      <c r="A349" s="65"/>
      <c r="B349" s="65"/>
      <c r="C349" s="65"/>
      <c r="D349" s="65"/>
      <c r="E349" s="65"/>
    </row>
    <row r="350" spans="1:5" ht="15.5">
      <c r="A350" s="65"/>
      <c r="B350" s="65"/>
      <c r="C350" s="65"/>
      <c r="D350" s="65"/>
      <c r="E350" s="65"/>
    </row>
    <row r="351" spans="1:5" ht="15.5">
      <c r="A351" s="65"/>
      <c r="B351" s="65"/>
      <c r="C351" s="65"/>
      <c r="D351" s="65"/>
      <c r="E351" s="65"/>
    </row>
    <row r="352" spans="1:5" ht="15.5">
      <c r="A352" s="65"/>
      <c r="B352" s="65"/>
      <c r="C352" s="65"/>
      <c r="D352" s="65"/>
      <c r="E352" s="65"/>
    </row>
    <row r="353" spans="1:5" ht="15.5">
      <c r="A353" s="65"/>
      <c r="B353" s="65"/>
      <c r="C353" s="65"/>
      <c r="D353" s="65"/>
      <c r="E353" s="65"/>
    </row>
    <row r="354" spans="1:5" ht="15.5">
      <c r="A354" s="65"/>
      <c r="B354" s="65"/>
      <c r="C354" s="65"/>
      <c r="D354" s="65"/>
      <c r="E354" s="65"/>
    </row>
    <row r="355" spans="1:5" ht="15.5">
      <c r="A355" s="65"/>
      <c r="B355" s="65"/>
      <c r="C355" s="65"/>
      <c r="D355" s="65"/>
      <c r="E355" s="65"/>
    </row>
    <row r="356" spans="1:5" ht="15.5">
      <c r="A356" s="65"/>
      <c r="B356" s="65"/>
      <c r="C356" s="65"/>
      <c r="D356" s="65"/>
      <c r="E356" s="65"/>
    </row>
    <row r="357" spans="1:5" ht="15.5">
      <c r="A357" s="65"/>
      <c r="B357" s="65"/>
      <c r="C357" s="65"/>
      <c r="D357" s="65"/>
      <c r="E357" s="65"/>
    </row>
    <row r="358" spans="1:5" ht="15.5">
      <c r="A358" s="65"/>
      <c r="B358" s="65"/>
      <c r="C358" s="65"/>
      <c r="D358" s="65"/>
      <c r="E358" s="65"/>
    </row>
    <row r="359" spans="1:5" ht="15.5">
      <c r="A359" s="65"/>
      <c r="B359" s="65"/>
      <c r="C359" s="65"/>
      <c r="D359" s="65"/>
      <c r="E359" s="65"/>
    </row>
    <row r="360" spans="1:5" ht="15.5">
      <c r="A360" s="65"/>
      <c r="B360" s="65"/>
      <c r="C360" s="65"/>
      <c r="D360" s="65"/>
      <c r="E360" s="65"/>
    </row>
    <row r="361" spans="1:5" ht="15.5">
      <c r="A361" s="65"/>
      <c r="B361" s="65"/>
      <c r="C361" s="65"/>
      <c r="D361" s="65"/>
      <c r="E361" s="65"/>
    </row>
    <row r="362" spans="1:5" ht="15.5">
      <c r="A362" s="65"/>
      <c r="B362" s="65"/>
      <c r="C362" s="65"/>
      <c r="D362" s="65"/>
      <c r="E362" s="65"/>
    </row>
    <row r="363" spans="1:5" ht="15.5">
      <c r="A363" s="65"/>
      <c r="B363" s="65"/>
      <c r="C363" s="65"/>
      <c r="D363" s="65"/>
      <c r="E363" s="65"/>
    </row>
    <row r="364" spans="1:5" ht="15.5">
      <c r="A364" s="65"/>
      <c r="B364" s="65"/>
      <c r="C364" s="65"/>
      <c r="D364" s="65"/>
      <c r="E364" s="65"/>
    </row>
    <row r="365" spans="1:5" ht="15.5">
      <c r="A365" s="65"/>
      <c r="B365" s="65"/>
      <c r="C365" s="65"/>
      <c r="D365" s="65"/>
      <c r="E365" s="65"/>
    </row>
    <row r="366" spans="1:5" ht="15.5">
      <c r="A366" s="65"/>
      <c r="B366" s="65"/>
      <c r="C366" s="65"/>
      <c r="D366" s="65"/>
      <c r="E366" s="65"/>
    </row>
    <row r="367" spans="1:5" ht="15.5">
      <c r="A367" s="65"/>
      <c r="B367" s="65"/>
      <c r="C367" s="65"/>
      <c r="D367" s="65"/>
      <c r="E367" s="65"/>
    </row>
    <row r="368" spans="1:5" ht="15.5">
      <c r="A368" s="65"/>
      <c r="B368" s="65"/>
      <c r="C368" s="65"/>
      <c r="D368" s="65"/>
      <c r="E368" s="65"/>
    </row>
    <row r="369" spans="1:5" ht="15.5">
      <c r="A369" s="65"/>
      <c r="B369" s="65"/>
      <c r="C369" s="65"/>
      <c r="D369" s="65"/>
      <c r="E369" s="65"/>
    </row>
    <row r="370" spans="1:5" ht="15.5">
      <c r="A370" s="65"/>
      <c r="B370" s="65"/>
      <c r="C370" s="65"/>
      <c r="D370" s="65"/>
      <c r="E370" s="65"/>
    </row>
    <row r="371" spans="1:5" ht="15.5">
      <c r="A371" s="65"/>
      <c r="B371" s="65"/>
      <c r="C371" s="65"/>
      <c r="D371" s="65"/>
      <c r="E371" s="65"/>
    </row>
    <row r="372" spans="1:5" ht="15.5">
      <c r="A372" s="65"/>
      <c r="B372" s="65"/>
      <c r="C372" s="65"/>
      <c r="D372" s="65"/>
      <c r="E372" s="65"/>
    </row>
    <row r="373" spans="1:5" ht="15.5">
      <c r="A373" s="65"/>
      <c r="B373" s="65"/>
      <c r="C373" s="65"/>
      <c r="D373" s="65"/>
      <c r="E373" s="65"/>
    </row>
    <row r="374" spans="1:5" ht="15.5">
      <c r="B374" s="65"/>
      <c r="C374" s="65"/>
      <c r="D374" s="65"/>
      <c r="E374" s="65"/>
    </row>
  </sheetData>
  <phoneticPr fontId="0" type="noConversion"/>
  <pageMargins left="0.75" right="0.75" top="0.25" bottom="0.25" header="0.5" footer="0.5"/>
  <pageSetup scale="70" orientation="portrait" horizontalDpi="120" verticalDpi="144" r:id="rId1"/>
  <headerFooter alignWithMargins="0">
    <oddHeader xml:space="preserve">&amp;L
Assignment No.: &amp;C&amp;ECalculation Sheet&amp;RFormat No.: CET-GEN-06
Unit: </oddHeader>
    <oddFooter>&amp;CPage &amp;P of &amp;N&amp;RDesigned by: A.R.Dasgupta</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anchor moveWithCells="1">
                  <from>
                    <xdr:col>1</xdr:col>
                    <xdr:colOff>57150</xdr:colOff>
                    <xdr:row>6</xdr:row>
                    <xdr:rowOff>6350</xdr:rowOff>
                  </from>
                  <to>
                    <xdr:col>2</xdr:col>
                    <xdr:colOff>12700</xdr:colOff>
                    <xdr:row>6</xdr:row>
                    <xdr:rowOff>228600</xdr:rowOff>
                  </to>
                </anchor>
              </controlPr>
            </control>
          </mc:Choice>
        </mc:AlternateContent>
        <mc:AlternateContent xmlns:mc="http://schemas.openxmlformats.org/markup-compatibility/2006">
          <mc:Choice Requires="x14">
            <control shapeId="1032" r:id="rId5" name="Drop Down 8">
              <controlPr defaultSize="0" autoLine="0" autoPict="0">
                <anchor moveWithCells="1">
                  <from>
                    <xdr:col>1</xdr:col>
                    <xdr:colOff>38100</xdr:colOff>
                    <xdr:row>19</xdr:row>
                    <xdr:rowOff>12700</xdr:rowOff>
                  </from>
                  <to>
                    <xdr:col>2</xdr:col>
                    <xdr:colOff>19050</xdr:colOff>
                    <xdr:row>19</xdr:row>
                    <xdr:rowOff>209550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EF2A9EE9-CDA4-4727-85ED-62C336D4580A}">
          <x14:formula1>
            <xm:f>'DATA BANK'!$A$35:$A$39</xm:f>
          </x14:formula1>
          <xm:sqref>K20</xm:sqref>
        </x14:dataValidation>
        <x14:dataValidation type="list" allowBlank="1" showInputMessage="1" showErrorMessage="1" xr:uid="{DD902A53-2371-4B14-A160-2555EE00B86C}">
          <x14:formula1>
            <xm:f>'DATA BANK'!$A$6:$A$25</xm:f>
          </x14:formula1>
          <xm:sqref>B12</xm:sqref>
        </x14:dataValidation>
        <x14:dataValidation type="list" allowBlank="1" showInputMessage="1" showErrorMessage="1" xr:uid="{32CB015D-2BF7-4B73-8940-0A46F302DBBB}">
          <x14:formula1>
            <xm:f>_xlfn.ANCHORARRAY('DATA BANK'!$H$7)</xm:f>
          </x14:formula1>
          <xm:sqref>B39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B6ECB-3FF9-4C5B-831C-79E5C7D80B93}">
  <dimension ref="A2:F11"/>
  <sheetViews>
    <sheetView workbookViewId="0">
      <selection activeCell="C8" sqref="C8"/>
    </sheetView>
  </sheetViews>
  <sheetFormatPr defaultRowHeight="12.5"/>
  <cols>
    <col min="2" max="2" width="35.26953125" customWidth="1"/>
  </cols>
  <sheetData>
    <row r="2" spans="1:6" ht="18.5">
      <c r="A2" s="8"/>
      <c r="B2" s="205" t="s">
        <v>344</v>
      </c>
      <c r="C2" s="206"/>
      <c r="D2" s="202"/>
    </row>
    <row r="3" spans="1:6" ht="18.5">
      <c r="A3" s="8"/>
      <c r="B3" s="205" t="s">
        <v>340</v>
      </c>
      <c r="C3" s="207">
        <f>'INPUT SHEET'!C5</f>
        <v>1500</v>
      </c>
      <c r="D3" s="202"/>
    </row>
    <row r="4" spans="1:6" ht="18.5">
      <c r="A4" s="8"/>
      <c r="B4" s="205" t="s">
        <v>0</v>
      </c>
      <c r="C4" s="207">
        <f>POWER!B6</f>
        <v>1800</v>
      </c>
      <c r="D4" s="202"/>
    </row>
    <row r="5" spans="1:6" ht="18.5">
      <c r="A5" s="8"/>
      <c r="B5" s="205" t="s">
        <v>345</v>
      </c>
      <c r="C5" s="207">
        <f>POWER!B8</f>
        <v>0.8</v>
      </c>
      <c r="D5" s="203"/>
      <c r="E5" s="203"/>
    </row>
    <row r="6" spans="1:6" ht="18.5">
      <c r="A6" s="8"/>
      <c r="B6" s="205" t="s">
        <v>346</v>
      </c>
      <c r="C6" s="207">
        <f>'INPUT SHEET'!F5</f>
        <v>2.5</v>
      </c>
      <c r="D6" s="203"/>
      <c r="E6" s="203"/>
    </row>
    <row r="7" spans="1:6" ht="32.25" customHeight="1">
      <c r="A7" s="8"/>
      <c r="B7" s="208" t="s">
        <v>347</v>
      </c>
      <c r="C7" s="209">
        <f>C4/(C6*3600*C5)</f>
        <v>0.25</v>
      </c>
      <c r="D7" s="203"/>
      <c r="E7" s="203"/>
      <c r="F7" s="8"/>
    </row>
    <row r="8" spans="1:6" ht="35.25" customHeight="1">
      <c r="B8" s="210" t="s">
        <v>348</v>
      </c>
      <c r="C8" s="211">
        <f>100+SQRT(C7)*1000</f>
        <v>600</v>
      </c>
      <c r="D8" s="203"/>
      <c r="E8" s="203"/>
      <c r="F8" s="204"/>
    </row>
    <row r="9" spans="1:6" ht="18.5">
      <c r="B9" s="210" t="s">
        <v>349</v>
      </c>
      <c r="C9" s="212">
        <f>C8</f>
        <v>600</v>
      </c>
      <c r="D9" s="203"/>
      <c r="E9" s="203"/>
      <c r="F9" s="8"/>
    </row>
    <row r="10" spans="1:6" ht="18.5">
      <c r="B10" s="205"/>
      <c r="C10" s="205"/>
      <c r="D10" s="203"/>
      <c r="E10" s="203"/>
    </row>
    <row r="11" spans="1:6" ht="15.5">
      <c r="B11" s="203"/>
      <c r="C11" s="203"/>
      <c r="D11" s="203"/>
      <c r="E11" s="203"/>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EA983-1E6B-4821-8B39-4A5E8ABFBEF6}">
  <dimension ref="B1:F30"/>
  <sheetViews>
    <sheetView showGridLines="0" topLeftCell="A3" workbookViewId="0"/>
  </sheetViews>
  <sheetFormatPr defaultRowHeight="12.5"/>
  <cols>
    <col min="1" max="1" width="0.7265625" customWidth="1"/>
    <col min="2" max="2" width="41" customWidth="1"/>
    <col min="3" max="3" width="1" customWidth="1"/>
    <col min="4" max="4" width="3.54296875" customWidth="1"/>
    <col min="5" max="6" width="10.1796875" customWidth="1"/>
  </cols>
  <sheetData>
    <row r="1" spans="2:6" ht="26">
      <c r="B1" s="214" t="s">
        <v>358</v>
      </c>
      <c r="C1" s="214"/>
      <c r="D1" s="221"/>
      <c r="E1" s="221"/>
      <c r="F1" s="221"/>
    </row>
    <row r="2" spans="2:6" ht="13">
      <c r="B2" s="214" t="s">
        <v>359</v>
      </c>
      <c r="C2" s="214"/>
      <c r="D2" s="221"/>
      <c r="E2" s="221"/>
      <c r="F2" s="221"/>
    </row>
    <row r="3" spans="2:6">
      <c r="B3" s="215"/>
      <c r="C3" s="215"/>
      <c r="D3" s="222"/>
      <c r="E3" s="222"/>
      <c r="F3" s="222"/>
    </row>
    <row r="4" spans="2:6" ht="37.5">
      <c r="B4" s="215" t="s">
        <v>360</v>
      </c>
      <c r="C4" s="215"/>
      <c r="D4" s="222"/>
      <c r="E4" s="222"/>
      <c r="F4" s="222"/>
    </row>
    <row r="5" spans="2:6">
      <c r="B5" s="215"/>
      <c r="C5" s="215"/>
      <c r="D5" s="222"/>
      <c r="E5" s="222"/>
      <c r="F5" s="222"/>
    </row>
    <row r="6" spans="2:6" ht="39">
      <c r="B6" s="214" t="s">
        <v>361</v>
      </c>
      <c r="C6" s="214"/>
      <c r="D6" s="221"/>
      <c r="E6" s="221" t="s">
        <v>362</v>
      </c>
      <c r="F6" s="221" t="s">
        <v>363</v>
      </c>
    </row>
    <row r="7" spans="2:6" ht="13" thickBot="1">
      <c r="B7" s="215"/>
      <c r="C7" s="215"/>
      <c r="D7" s="222"/>
      <c r="E7" s="222"/>
      <c r="F7" s="222"/>
    </row>
    <row r="8" spans="2:6" ht="62.5">
      <c r="B8" s="216" t="s">
        <v>364</v>
      </c>
      <c r="C8" s="217"/>
      <c r="D8" s="223"/>
      <c r="E8" s="223">
        <v>1</v>
      </c>
      <c r="F8" s="224"/>
    </row>
    <row r="9" spans="2:6" ht="25">
      <c r="B9" s="218"/>
      <c r="C9" s="215"/>
      <c r="D9" s="222"/>
      <c r="E9" s="225" t="s">
        <v>365</v>
      </c>
      <c r="F9" s="226" t="s">
        <v>366</v>
      </c>
    </row>
    <row r="10" spans="2:6">
      <c r="B10" s="218"/>
      <c r="C10" s="215"/>
      <c r="D10" s="222"/>
      <c r="E10" s="222"/>
      <c r="F10" s="226" t="s">
        <v>367</v>
      </c>
    </row>
    <row r="11" spans="2:6">
      <c r="B11" s="218"/>
      <c r="C11" s="215"/>
      <c r="D11" s="222"/>
      <c r="E11" s="222"/>
      <c r="F11" s="226" t="s">
        <v>368</v>
      </c>
    </row>
    <row r="12" spans="2:6">
      <c r="B12" s="218"/>
      <c r="C12" s="215"/>
      <c r="D12" s="222"/>
      <c r="E12" s="222"/>
      <c r="F12" s="226" t="s">
        <v>369</v>
      </c>
    </row>
    <row r="13" spans="2:6">
      <c r="B13" s="218"/>
      <c r="C13" s="215"/>
      <c r="D13" s="222"/>
      <c r="E13" s="222"/>
      <c r="F13" s="226" t="s">
        <v>370</v>
      </c>
    </row>
    <row r="14" spans="2:6" ht="13" thickBot="1">
      <c r="B14" s="219"/>
      <c r="C14" s="220"/>
      <c r="D14" s="227"/>
      <c r="E14" s="227"/>
      <c r="F14" s="228" t="s">
        <v>371</v>
      </c>
    </row>
    <row r="15" spans="2:6" ht="13" thickBot="1">
      <c r="B15" s="215"/>
      <c r="C15" s="215"/>
      <c r="D15" s="222"/>
      <c r="E15" s="222"/>
      <c r="F15" s="222"/>
    </row>
    <row r="16" spans="2:6" ht="62.5">
      <c r="B16" s="216" t="s">
        <v>372</v>
      </c>
      <c r="C16" s="217"/>
      <c r="D16" s="223"/>
      <c r="E16" s="223">
        <v>3</v>
      </c>
      <c r="F16" s="224"/>
    </row>
    <row r="17" spans="2:6" ht="25">
      <c r="B17" s="218"/>
      <c r="C17" s="215"/>
      <c r="D17" s="222"/>
      <c r="E17" s="225" t="s">
        <v>365</v>
      </c>
      <c r="F17" s="226" t="s">
        <v>366</v>
      </c>
    </row>
    <row r="18" spans="2:6">
      <c r="B18" s="218"/>
      <c r="C18" s="215"/>
      <c r="D18" s="222"/>
      <c r="E18" s="222"/>
      <c r="F18" s="226" t="s">
        <v>367</v>
      </c>
    </row>
    <row r="19" spans="2:6">
      <c r="B19" s="218"/>
      <c r="C19" s="215"/>
      <c r="D19" s="222"/>
      <c r="E19" s="222"/>
      <c r="F19" s="226" t="s">
        <v>368</v>
      </c>
    </row>
    <row r="20" spans="2:6">
      <c r="B20" s="218"/>
      <c r="C20" s="215"/>
      <c r="D20" s="222"/>
      <c r="E20" s="222"/>
      <c r="F20" s="226" t="s">
        <v>369</v>
      </c>
    </row>
    <row r="21" spans="2:6">
      <c r="B21" s="218"/>
      <c r="C21" s="215"/>
      <c r="D21" s="222"/>
      <c r="E21" s="222"/>
      <c r="F21" s="226" t="s">
        <v>370</v>
      </c>
    </row>
    <row r="22" spans="2:6">
      <c r="B22" s="218"/>
      <c r="C22" s="215"/>
      <c r="D22" s="222"/>
      <c r="E22" s="222"/>
      <c r="F22" s="226" t="s">
        <v>371</v>
      </c>
    </row>
    <row r="23" spans="2:6" ht="25">
      <c r="B23" s="218"/>
      <c r="C23" s="215"/>
      <c r="D23" s="222"/>
      <c r="E23" s="225" t="s">
        <v>373</v>
      </c>
      <c r="F23" s="226" t="s">
        <v>366</v>
      </c>
    </row>
    <row r="24" spans="2:6" ht="25">
      <c r="B24" s="218"/>
      <c r="C24" s="215"/>
      <c r="D24" s="222"/>
      <c r="E24" s="225" t="s">
        <v>374</v>
      </c>
      <c r="F24" s="226" t="s">
        <v>367</v>
      </c>
    </row>
    <row r="25" spans="2:6">
      <c r="B25" s="218"/>
      <c r="C25" s="215"/>
      <c r="D25" s="222"/>
      <c r="E25" s="222"/>
      <c r="F25" s="226" t="s">
        <v>368</v>
      </c>
    </row>
    <row r="26" spans="2:6">
      <c r="B26" s="218"/>
      <c r="C26" s="215"/>
      <c r="D26" s="222"/>
      <c r="E26" s="222"/>
      <c r="F26" s="226" t="s">
        <v>369</v>
      </c>
    </row>
    <row r="27" spans="2:6">
      <c r="B27" s="218"/>
      <c r="C27" s="215"/>
      <c r="D27" s="222"/>
      <c r="E27" s="222"/>
      <c r="F27" s="226" t="s">
        <v>370</v>
      </c>
    </row>
    <row r="28" spans="2:6" ht="13" thickBot="1">
      <c r="B28" s="219"/>
      <c r="C28" s="220"/>
      <c r="D28" s="227"/>
      <c r="E28" s="227"/>
      <c r="F28" s="228" t="s">
        <v>371</v>
      </c>
    </row>
    <row r="29" spans="2:6">
      <c r="B29" s="215"/>
      <c r="C29" s="215"/>
      <c r="D29" s="222"/>
      <c r="E29" s="222"/>
      <c r="F29" s="222"/>
    </row>
    <row r="30" spans="2:6">
      <c r="B30" s="215"/>
      <c r="C30" s="215"/>
      <c r="D30" s="222"/>
      <c r="E30" s="222"/>
      <c r="F30" s="222"/>
    </row>
  </sheetData>
  <hyperlinks>
    <hyperlink ref="E9" location="'DATA BANK'!H7" display="'DATA BANK'!H7" xr:uid="{6AE426B7-09E0-4DFE-A1ED-D8DD564714A8}"/>
    <hyperlink ref="E17" location="'DATA BANK'!H7" display="'DATA BANK'!H7" xr:uid="{57D6B308-8896-4598-97AF-1A21A04A7F72}"/>
    <hyperlink ref="E23" location="'POWER'!B56" display="'POWER'!B56" xr:uid="{8E1EE722-FA8A-4DA0-A197-F7B517BD2235}"/>
    <hyperlink ref="E24" location="'POWER'!B39" display="'POWER'!B39" xr:uid="{1FF557F0-59A3-4932-83E7-83B6A678EB5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 SHEET</vt:lpstr>
      <vt:lpstr>DATA BANK</vt:lpstr>
      <vt:lpstr>IDLER DETAILS</vt:lpstr>
      <vt:lpstr>POWER</vt:lpstr>
      <vt:lpstr>CHUTE SIZING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Aryan Shankar(BTECH10090.24@bitmesra.ac.in)</cp:lastModifiedBy>
  <cp:lastPrinted>2015-01-03T05:57:20Z</cp:lastPrinted>
  <dcterms:created xsi:type="dcterms:W3CDTF">1996-10-14T23:33:28Z</dcterms:created>
  <dcterms:modified xsi:type="dcterms:W3CDTF">2026-06-08T20:22:52Z</dcterms:modified>
</cp:coreProperties>
</file>